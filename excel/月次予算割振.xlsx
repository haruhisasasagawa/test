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設定" sheetId="1" state="visible" r:id="rId1"/>
    <sheet name="動員" sheetId="2" state="visible" r:id="rId2"/>
    <sheet name="割振" sheetId="3" state="visible" r:id="rId3"/>
    <sheet name="集計" sheetId="4" state="visible" r:id="rId4"/>
    <sheet name="接客部門" sheetId="5" state="visible" r:id="rId5"/>
    <sheet name="有休・更衣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/m/d"/>
    <numFmt numFmtId="165" formatCode="m/d"/>
    <numFmt numFmtId="166" formatCode="#,##0;[Red]-#,##0;&quot;-&quot;"/>
    <numFmt numFmtId="167" formatCode="0.0%;[Red]-0.0%;&quot;-&quot;"/>
    <numFmt numFmtId="168" formatCode="#,##0.##;[Red]-#,##0.##;&quot;-&quot;"/>
  </numFmts>
  <fonts count="6">
    <font>
      <name val="Calibri"/>
      <family val="2"/>
      <color theme="1"/>
      <sz val="11"/>
      <scheme val="minor"/>
    </font>
    <font>
      <name val="Meiryo UI"/>
      <b val="1"/>
      <color rgb="00000000"/>
      <sz val="14"/>
    </font>
    <font>
      <name val="Meiryo UI"/>
      <color rgb="00808080"/>
      <sz val="9"/>
    </font>
    <font>
      <name val="Meiryo UI"/>
      <b val="1"/>
      <color rgb="00000000"/>
      <sz val="11"/>
    </font>
    <font>
      <name val="Meiryo UI"/>
      <color rgb="000000FF"/>
      <sz val="11"/>
    </font>
    <font>
      <name val="Meiryo UI"/>
      <color rgb="00000000"/>
      <sz val="11"/>
    </font>
  </fonts>
  <fills count="6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D9E2F3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0" borderId="0" pivotButton="0" quotePrefix="0" xfId="0"/>
    <xf numFmtId="164" fontId="5" fillId="0" borderId="1" applyAlignment="1" pivotButton="0" quotePrefix="0" xfId="0">
      <alignment horizontal="center" vertical="center"/>
    </xf>
    <xf numFmtId="1" fontId="5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0" fontId="5" fillId="0" borderId="1" pivotButton="0" quotePrefix="0" xfId="0"/>
    <xf numFmtId="10" fontId="4" fillId="3" borderId="1" applyAlignment="1" pivotButton="0" quotePrefix="0" xfId="0">
      <alignment horizontal="center" vertical="center"/>
    </xf>
    <xf numFmtId="0" fontId="3" fillId="0" borderId="1" pivotButton="0" quotePrefix="0" xfId="0"/>
    <xf numFmtId="10" fontId="3" fillId="0" borderId="1" applyAlignment="1" pivotButton="0" quotePrefix="0" xfId="0">
      <alignment horizontal="center" vertical="center"/>
    </xf>
    <xf numFmtId="0" fontId="4" fillId="3" borderId="1" pivotButton="0" quotePrefix="0" xfId="0"/>
    <xf numFmtId="166" fontId="4" fillId="3" borderId="1" pivotButton="0" quotePrefix="0" xfId="0"/>
    <xf numFmtId="167" fontId="5" fillId="0" borderId="1" pivotButton="0" quotePrefix="0" xfId="0"/>
    <xf numFmtId="166" fontId="5" fillId="0" borderId="1" pivotButton="0" quotePrefix="0" xfId="0"/>
    <xf numFmtId="0" fontId="3" fillId="5" borderId="1" applyAlignment="1" pivotButton="0" quotePrefix="0" xfId="0">
      <alignment horizontal="center" vertical="center"/>
    </xf>
    <xf numFmtId="166" fontId="3" fillId="5" borderId="1" pivotButton="0" quotePrefix="0" xfId="0"/>
    <xf numFmtId="167" fontId="3" fillId="5" borderId="1" pivotButton="0" quotePrefix="0" xfId="0"/>
    <xf numFmtId="0" fontId="3" fillId="5" borderId="1" pivotButton="0" quotePrefix="0" xfId="0"/>
    <xf numFmtId="0" fontId="5" fillId="5" borderId="1" pivotButton="0" quotePrefix="0" xfId="0"/>
    <xf numFmtId="0" fontId="3" fillId="2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168" fontId="4" fillId="3" borderId="1" pivotButton="0" quotePrefix="0" xfId="0"/>
    <xf numFmtId="168" fontId="4" fillId="3" borderId="1" applyAlignment="1" pivotButton="0" quotePrefix="0" xfId="0">
      <alignment horizontal="center" vertical="center"/>
    </xf>
    <xf numFmtId="168" fontId="5" fillId="0" borderId="1" applyAlignment="1" pivotButton="0" quotePrefix="0" xfId="0">
      <alignment horizontal="center" vertical="center"/>
    </xf>
    <xf numFmtId="168" fontId="3" fillId="5" borderId="1" applyAlignment="1" pivotButton="0" quotePrefix="0" xfId="0">
      <alignment horizontal="center" vertical="center"/>
    </xf>
    <xf numFmtId="166" fontId="3" fillId="0" borderId="1" pivotButton="0" quotePrefix="0" xfId="0"/>
    <xf numFmtId="167" fontId="3" fillId="0" borderId="1" pivotButton="0" quotePrefix="0" xfId="0"/>
    <xf numFmtId="168" fontId="3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3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52" customWidth="1" min="3" max="3"/>
    <col width="12" customWidth="1" min="4" max="4"/>
    <col width="8" customWidth="1" min="5" max="5"/>
  </cols>
  <sheetData>
    <row r="1">
      <c r="A1" s="1" t="inlineStr">
        <is>
          <t>月次予算割振</t>
        </is>
      </c>
    </row>
    <row r="2">
      <c r="A2" s="2" t="inlineStr">
        <is>
          <t>対象月を変えるだけで、日付・週の区切り・WEEK番号がすべて入れ替わります。</t>
        </is>
      </c>
    </row>
    <row r="4">
      <c r="A4" s="3" t="inlineStr">
        <is>
          <t>■ 対象月</t>
        </is>
      </c>
    </row>
    <row r="5">
      <c r="A5" s="4" t="inlineStr">
        <is>
          <t>年</t>
        </is>
      </c>
      <c r="B5" s="5" t="n">
        <v>2026</v>
      </c>
    </row>
    <row r="6">
      <c r="A6" s="4" t="inlineStr">
        <is>
          <t>月</t>
        </is>
      </c>
      <c r="B6" s="5" t="n">
        <v>4</v>
      </c>
    </row>
    <row r="7">
      <c r="A7" s="4" t="inlineStr">
        <is>
          <t>開始WEEK</t>
        </is>
      </c>
      <c r="B7" s="5">
        <f>B16</f>
        <v/>
      </c>
      <c r="C7" s="2" t="inlineStr">
        <is>
          <t>← 自動計算値が入っています。別の番号にしたいときは直接上書きしてください。</t>
        </is>
      </c>
    </row>
    <row r="9">
      <c r="A9" s="3" t="inlineStr">
        <is>
          <t>■ 自動計算（変更しないでください）</t>
        </is>
      </c>
    </row>
    <row r="11">
      <c r="A11" s="6" t="inlineStr">
        <is>
          <t>月初</t>
        </is>
      </c>
      <c r="B11" s="7">
        <f>DATE(B5,B6,1)</f>
        <v/>
      </c>
    </row>
    <row r="12">
      <c r="A12" s="6" t="inlineStr">
        <is>
          <t>月末</t>
        </is>
      </c>
      <c r="B12" s="7">
        <f>EOMONTH(B11,0)</f>
        <v/>
      </c>
    </row>
    <row r="13">
      <c r="A13" s="6" t="inlineStr">
        <is>
          <t>第1週の木曜</t>
        </is>
      </c>
      <c r="B13" s="7">
        <f>B11+MOD(4-WEEKDAY(B11,2)+7,7)</f>
        <v/>
      </c>
    </row>
    <row r="14">
      <c r="A14" s="6" t="inlineStr">
        <is>
          <t>3/1(当年)の週の木曜</t>
        </is>
      </c>
      <c r="B14" s="7">
        <f>DATE(B5,3,1)+MOD(4-WEEKDAY(DATE(B5,3,1),2)+7,7)</f>
        <v/>
      </c>
    </row>
    <row r="15">
      <c r="A15" s="6" t="inlineStr">
        <is>
          <t>3/1(前年)の週の木曜</t>
        </is>
      </c>
      <c r="B15" s="7">
        <f>DATE(B5-1,3,1)+MOD(4-WEEKDAY(DATE(B5-1,3,1),2)+7,7)</f>
        <v/>
      </c>
    </row>
    <row r="16">
      <c r="A16" s="6" t="inlineStr">
        <is>
          <t>開始WEEK（自動）</t>
        </is>
      </c>
      <c r="B16" s="8">
        <f>IF(B13&gt;=B14,(B13-B14)/7+1,(B13-B15)/7+1)</f>
        <v/>
      </c>
    </row>
    <row r="17">
      <c r="A17" s="6" t="inlineStr">
        <is>
          <t>週数</t>
        </is>
      </c>
      <c r="B17" s="8">
        <f>IF(B12&lt;=B13,1,1+CEILING((B12-B13)/7,1))</f>
        <v/>
      </c>
    </row>
    <row r="19">
      <c r="A19" s="3" t="inlineStr">
        <is>
          <t>■ 週の区切り（金曜〜木曜。月初・月末は端数の週になります）</t>
        </is>
      </c>
    </row>
    <row r="20">
      <c r="A20" s="9" t="inlineStr">
        <is>
          <t>週</t>
        </is>
      </c>
      <c r="B20" s="9" t="inlineStr">
        <is>
          <t>WEEK</t>
        </is>
      </c>
      <c r="C20" s="9" t="inlineStr">
        <is>
          <t>開始</t>
        </is>
      </c>
      <c r="D20" s="9" t="inlineStr">
        <is>
          <t>終了</t>
        </is>
      </c>
      <c r="E20" s="9" t="inlineStr">
        <is>
          <t>日数</t>
        </is>
      </c>
    </row>
    <row r="21">
      <c r="A21" s="10" t="n">
        <v>1</v>
      </c>
      <c r="B21" s="10">
        <f>IF($A21&lt;=$B$17,"W"&amp;($B$7+$A21-1),"")</f>
        <v/>
      </c>
      <c r="C21" s="11">
        <f>IF($A21&lt;=$B$17,IF($A21=1,$B$11,$B$13+7*($A21-2)+1),"")</f>
        <v/>
      </c>
      <c r="D21" s="11">
        <f>IF($A21&lt;=$B$17,MIN($B$12,$B$13+7*($A21-1)),"")</f>
        <v/>
      </c>
      <c r="E21" s="10">
        <f>IF($A21&lt;=$B$17,$D21-$C21+1,"")</f>
        <v/>
      </c>
    </row>
    <row r="22">
      <c r="A22" s="10" t="n">
        <v>2</v>
      </c>
      <c r="B22" s="10">
        <f>IF($A22&lt;=$B$17,"W"&amp;($B$7+$A22-1),"")</f>
        <v/>
      </c>
      <c r="C22" s="11">
        <f>IF($A22&lt;=$B$17,IF($A22=1,$B$11,$B$13+7*($A22-2)+1),"")</f>
        <v/>
      </c>
      <c r="D22" s="11">
        <f>IF($A22&lt;=$B$17,MIN($B$12,$B$13+7*($A22-1)),"")</f>
        <v/>
      </c>
      <c r="E22" s="10">
        <f>IF($A22&lt;=$B$17,$D22-$C22+1,"")</f>
        <v/>
      </c>
    </row>
    <row r="23">
      <c r="A23" s="10" t="n">
        <v>3</v>
      </c>
      <c r="B23" s="10">
        <f>IF($A23&lt;=$B$17,"W"&amp;($B$7+$A23-1),"")</f>
        <v/>
      </c>
      <c r="C23" s="11">
        <f>IF($A23&lt;=$B$17,IF($A23=1,$B$11,$B$13+7*($A23-2)+1),"")</f>
        <v/>
      </c>
      <c r="D23" s="11">
        <f>IF($A23&lt;=$B$17,MIN($B$12,$B$13+7*($A23-1)),"")</f>
        <v/>
      </c>
      <c r="E23" s="10">
        <f>IF($A23&lt;=$B$17,$D23-$C23+1,"")</f>
        <v/>
      </c>
    </row>
    <row r="24">
      <c r="A24" s="10" t="n">
        <v>4</v>
      </c>
      <c r="B24" s="10">
        <f>IF($A24&lt;=$B$17,"W"&amp;($B$7+$A24-1),"")</f>
        <v/>
      </c>
      <c r="C24" s="11">
        <f>IF($A24&lt;=$B$17,IF($A24=1,$B$11,$B$13+7*($A24-2)+1),"")</f>
        <v/>
      </c>
      <c r="D24" s="11">
        <f>IF($A24&lt;=$B$17,MIN($B$12,$B$13+7*($A24-1)),"")</f>
        <v/>
      </c>
      <c r="E24" s="10">
        <f>IF($A24&lt;=$B$17,$D24-$C24+1,"")</f>
        <v/>
      </c>
    </row>
    <row r="25">
      <c r="A25" s="10" t="n">
        <v>5</v>
      </c>
      <c r="B25" s="10">
        <f>IF($A25&lt;=$B$17,"W"&amp;($B$7+$A25-1),"")</f>
        <v/>
      </c>
      <c r="C25" s="11">
        <f>IF($A25&lt;=$B$17,IF($A25=1,$B$11,$B$13+7*($A25-2)+1),"")</f>
        <v/>
      </c>
      <c r="D25" s="11">
        <f>IF($A25&lt;=$B$17,MIN($B$12,$B$13+7*($A25-1)),"")</f>
        <v/>
      </c>
      <c r="E25" s="10">
        <f>IF($A25&lt;=$B$17,$D25-$C25+1,"")</f>
        <v/>
      </c>
    </row>
    <row r="26">
      <c r="A26" s="10" t="n">
        <v>6</v>
      </c>
      <c r="B26" s="10">
        <f>IF($A26&lt;=$B$17,"W"&amp;($B$7+$A26-1),"")</f>
        <v/>
      </c>
      <c r="C26" s="11">
        <f>IF($A26&lt;=$B$17,IF($A26=1,$B$11,$B$13+7*($A26-2)+1),"")</f>
        <v/>
      </c>
      <c r="D26" s="11">
        <f>IF($A26&lt;=$B$17,MIN($B$12,$B$13+7*($A26-1)),"")</f>
        <v/>
      </c>
      <c r="E26" s="10">
        <f>IF($A26&lt;=$B$17,$D26-$C26+1,"")</f>
        <v/>
      </c>
    </row>
    <row r="28">
      <c r="A28" s="3" t="inlineStr">
        <is>
          <t>■ 部門構成比（接客部門シートで使用）</t>
        </is>
      </c>
    </row>
    <row r="29">
      <c r="A29" s="12" t="inlineStr">
        <is>
          <t>FLOOR</t>
        </is>
      </c>
      <c r="B29" s="13" t="n">
        <v>0.442736342367074</v>
      </c>
    </row>
    <row r="30">
      <c r="A30" s="12" t="inlineStr">
        <is>
          <t>CONCESSION</t>
        </is>
      </c>
      <c r="B30" s="13" t="n">
        <v>0.4321965545697439</v>
      </c>
    </row>
    <row r="31">
      <c r="A31" s="12" t="inlineStr">
        <is>
          <t>STORE</t>
        </is>
      </c>
      <c r="B31" s="13" t="n">
        <v>0.03629238541840829</v>
      </c>
    </row>
    <row r="32">
      <c r="A32" s="12" t="inlineStr">
        <is>
          <t>OFFICE</t>
        </is>
      </c>
      <c r="B32" s="13" t="n">
        <v>0.08877471764477365</v>
      </c>
    </row>
    <row r="33">
      <c r="A33" s="14" t="inlineStr">
        <is>
          <t>合計</t>
        </is>
      </c>
      <c r="B33" s="15">
        <f>SUM(B29:B32)</f>
        <v/>
      </c>
      <c r="C33" s="2" t="inlineStr">
        <is>
          <t>← 100.00% になるようにしてください</t>
        </is>
      </c>
    </row>
    <row r="35">
      <c r="A35" s="3" t="inlineStr">
        <is>
          <t>■ 凡例</t>
        </is>
      </c>
    </row>
    <row r="36">
      <c r="A36" s="16" t="inlineStr">
        <is>
          <t>入力するセル</t>
        </is>
      </c>
      <c r="B36" s="2" t="inlineStr">
        <is>
          <t>黄色 ＝ 手で入力するところ（青字）</t>
        </is>
      </c>
    </row>
    <row r="37">
      <c r="A37" s="12" t="inlineStr">
        <is>
          <t>自動計算</t>
        </is>
      </c>
      <c r="B37" s="2" t="inlineStr">
        <is>
          <t>白 ＝ 数式が入っています（触らないでください）</t>
        </is>
      </c>
    </row>
    <row r="39">
      <c r="A39" s="2" t="inlineStr">
        <is>
          <t>※ 元の値は 2026年4月シートから写しています。実態に合わせて書き換えてください。</t>
        </is>
      </c>
    </row>
  </sheetData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3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7" customWidth="1" min="2" max="2"/>
    <col width="7" customWidth="1" min="3" max="3"/>
    <col width="12" customWidth="1" min="4" max="4"/>
    <col width="10" customWidth="1" min="5" max="5"/>
    <col width="3" customWidth="1" min="6" max="6"/>
    <col width="6" customWidth="1" min="7" max="7"/>
    <col width="8" customWidth="1" min="8" max="8"/>
    <col width="16" customWidth="1" min="9" max="9"/>
    <col width="12" customWidth="1" min="10" max="10"/>
    <col width="10" customWidth="1" min="11" max="11"/>
  </cols>
  <sheetData>
    <row r="1">
      <c r="A1" s="1" t="inlineStr">
        <is>
          <t>日別動員</t>
        </is>
      </c>
    </row>
    <row r="2">
      <c r="A2" s="2" t="inlineStr">
        <is>
          <t>D列に日別動員を入力すると、週別の構成比まで自動で出ます（未入力でも他シートは使えます）。</t>
        </is>
      </c>
    </row>
    <row r="3">
      <c r="A3" s="9" t="inlineStr">
        <is>
          <t>日付</t>
        </is>
      </c>
      <c r="B3" s="9" t="inlineStr">
        <is>
          <t>曜日</t>
        </is>
      </c>
      <c r="C3" s="9" t="inlineStr">
        <is>
          <t>WEEK</t>
        </is>
      </c>
      <c r="D3" s="9" t="inlineStr">
        <is>
          <t>動員</t>
        </is>
      </c>
      <c r="E3" s="9" t="inlineStr">
        <is>
          <t>構成比</t>
        </is>
      </c>
      <c r="G3" s="9" t="inlineStr">
        <is>
          <t>週</t>
        </is>
      </c>
      <c r="H3" s="9" t="inlineStr">
        <is>
          <t>WEEK</t>
        </is>
      </c>
      <c r="I3" s="9" t="inlineStr">
        <is>
          <t>期間</t>
        </is>
      </c>
      <c r="J3" s="9" t="inlineStr">
        <is>
          <t>動員</t>
        </is>
      </c>
      <c r="K3" s="9" t="inlineStr">
        <is>
          <t>構成比</t>
        </is>
      </c>
    </row>
    <row r="4">
      <c r="A4" s="11">
        <f>IF(1&lt;=DAY(設定!$B$12),設定!$B$11+0,"")</f>
        <v/>
      </c>
      <c r="B4" s="10">
        <f>IF($A4="","",CHOOSE(WEEKDAY($A4,2),"月","火","水","木","金","土","日"))</f>
        <v/>
      </c>
      <c r="C4" s="10">
        <f>IF($A4="","",IF($A4&lt;=設定!$B$13,1,1+CEILING(($A4-設定!$B$13)/7,1)))</f>
        <v/>
      </c>
      <c r="D4" s="17" t="n"/>
      <c r="E4" s="18">
        <f>IF($A4="","",IF($D$35=0,0,$D4/$D$35))</f>
        <v/>
      </c>
      <c r="G4" s="10" t="n">
        <v>1</v>
      </c>
      <c r="H4" s="10">
        <f>設定!$B$21</f>
        <v/>
      </c>
      <c r="I4" s="10">
        <f>IF(設定!$B$21="","",TEXT(設定!$C$21,"m/d")&amp;"〜"&amp;TEXT(設定!$D$21,"m/d"))</f>
        <v/>
      </c>
      <c r="J4" s="19">
        <f>IF(設定!$B$21="","",SUMIF($C$4:$C$34,$G4,$D$4:$D$34))</f>
        <v/>
      </c>
      <c r="K4" s="18">
        <f>IF(設定!$B$21="","",IF($J$10=0,0,$J4/$J$10))</f>
        <v/>
      </c>
    </row>
    <row r="5">
      <c r="A5" s="11">
        <f>IF(2&lt;=DAY(設定!$B$12),設定!$B$11+1,"")</f>
        <v/>
      </c>
      <c r="B5" s="10">
        <f>IF($A5="","",CHOOSE(WEEKDAY($A5,2),"月","火","水","木","金","土","日"))</f>
        <v/>
      </c>
      <c r="C5" s="10">
        <f>IF($A5="","",IF($A5&lt;=設定!$B$13,1,1+CEILING(($A5-設定!$B$13)/7,1)))</f>
        <v/>
      </c>
      <c r="D5" s="17" t="n"/>
      <c r="E5" s="18">
        <f>IF($A5="","",IF($D$35=0,0,$D5/$D$35))</f>
        <v/>
      </c>
      <c r="G5" s="10" t="n">
        <v>2</v>
      </c>
      <c r="H5" s="10">
        <f>設定!$B$22</f>
        <v/>
      </c>
      <c r="I5" s="10">
        <f>IF(設定!$B$22="","",TEXT(設定!$C$22,"m/d")&amp;"〜"&amp;TEXT(設定!$D$22,"m/d"))</f>
        <v/>
      </c>
      <c r="J5" s="19">
        <f>IF(設定!$B$22="","",SUMIF($C$4:$C$34,$G5,$D$4:$D$34))</f>
        <v/>
      </c>
      <c r="K5" s="18">
        <f>IF(設定!$B$22="","",IF($J$10=0,0,$J5/$J$10))</f>
        <v/>
      </c>
    </row>
    <row r="6">
      <c r="A6" s="11">
        <f>IF(3&lt;=DAY(設定!$B$12),設定!$B$11+2,"")</f>
        <v/>
      </c>
      <c r="B6" s="10">
        <f>IF($A6="","",CHOOSE(WEEKDAY($A6,2),"月","火","水","木","金","土","日"))</f>
        <v/>
      </c>
      <c r="C6" s="10">
        <f>IF($A6="","",IF($A6&lt;=設定!$B$13,1,1+CEILING(($A6-設定!$B$13)/7,1)))</f>
        <v/>
      </c>
      <c r="D6" s="17" t="n"/>
      <c r="E6" s="18">
        <f>IF($A6="","",IF($D$35=0,0,$D6/$D$35))</f>
        <v/>
      </c>
      <c r="G6" s="10" t="n">
        <v>3</v>
      </c>
      <c r="H6" s="10">
        <f>設定!$B$23</f>
        <v/>
      </c>
      <c r="I6" s="10">
        <f>IF(設定!$B$23="","",TEXT(設定!$C$23,"m/d")&amp;"〜"&amp;TEXT(設定!$D$23,"m/d"))</f>
        <v/>
      </c>
      <c r="J6" s="19">
        <f>IF(設定!$B$23="","",SUMIF($C$4:$C$34,$G6,$D$4:$D$34))</f>
        <v/>
      </c>
      <c r="K6" s="18">
        <f>IF(設定!$B$23="","",IF($J$10=0,0,$J6/$J$10))</f>
        <v/>
      </c>
    </row>
    <row r="7">
      <c r="A7" s="11">
        <f>IF(4&lt;=DAY(設定!$B$12),設定!$B$11+3,"")</f>
        <v/>
      </c>
      <c r="B7" s="10">
        <f>IF($A7="","",CHOOSE(WEEKDAY($A7,2),"月","火","水","木","金","土","日"))</f>
        <v/>
      </c>
      <c r="C7" s="10">
        <f>IF($A7="","",IF($A7&lt;=設定!$B$13,1,1+CEILING(($A7-設定!$B$13)/7,1)))</f>
        <v/>
      </c>
      <c r="D7" s="17" t="n"/>
      <c r="E7" s="18">
        <f>IF($A7="","",IF($D$35=0,0,$D7/$D$35))</f>
        <v/>
      </c>
      <c r="G7" s="10" t="n">
        <v>4</v>
      </c>
      <c r="H7" s="10">
        <f>設定!$B$24</f>
        <v/>
      </c>
      <c r="I7" s="10">
        <f>IF(設定!$B$24="","",TEXT(設定!$C$24,"m/d")&amp;"〜"&amp;TEXT(設定!$D$24,"m/d"))</f>
        <v/>
      </c>
      <c r="J7" s="19">
        <f>IF(設定!$B$24="","",SUMIF($C$4:$C$34,$G7,$D$4:$D$34))</f>
        <v/>
      </c>
      <c r="K7" s="18">
        <f>IF(設定!$B$24="","",IF($J$10=0,0,$J7/$J$10))</f>
        <v/>
      </c>
    </row>
    <row r="8">
      <c r="A8" s="11">
        <f>IF(5&lt;=DAY(設定!$B$12),設定!$B$11+4,"")</f>
        <v/>
      </c>
      <c r="B8" s="10">
        <f>IF($A8="","",CHOOSE(WEEKDAY($A8,2),"月","火","水","木","金","土","日"))</f>
        <v/>
      </c>
      <c r="C8" s="10">
        <f>IF($A8="","",IF($A8&lt;=設定!$B$13,1,1+CEILING(($A8-設定!$B$13)/7,1)))</f>
        <v/>
      </c>
      <c r="D8" s="17" t="n"/>
      <c r="E8" s="18">
        <f>IF($A8="","",IF($D$35=0,0,$D8/$D$35))</f>
        <v/>
      </c>
      <c r="G8" s="10" t="n">
        <v>5</v>
      </c>
      <c r="H8" s="10">
        <f>設定!$B$25</f>
        <v/>
      </c>
      <c r="I8" s="10">
        <f>IF(設定!$B$25="","",TEXT(設定!$C$25,"m/d")&amp;"〜"&amp;TEXT(設定!$D$25,"m/d"))</f>
        <v/>
      </c>
      <c r="J8" s="19">
        <f>IF(設定!$B$25="","",SUMIF($C$4:$C$34,$G8,$D$4:$D$34))</f>
        <v/>
      </c>
      <c r="K8" s="18">
        <f>IF(設定!$B$25="","",IF($J$10=0,0,$J8/$J$10))</f>
        <v/>
      </c>
    </row>
    <row r="9">
      <c r="A9" s="11">
        <f>IF(6&lt;=DAY(設定!$B$12),設定!$B$11+5,"")</f>
        <v/>
      </c>
      <c r="B9" s="10">
        <f>IF($A9="","",CHOOSE(WEEKDAY($A9,2),"月","火","水","木","金","土","日"))</f>
        <v/>
      </c>
      <c r="C9" s="10">
        <f>IF($A9="","",IF($A9&lt;=設定!$B$13,1,1+CEILING(($A9-設定!$B$13)/7,1)))</f>
        <v/>
      </c>
      <c r="D9" s="17" t="n"/>
      <c r="E9" s="18">
        <f>IF($A9="","",IF($D$35=0,0,$D9/$D$35))</f>
        <v/>
      </c>
      <c r="G9" s="10" t="n">
        <v>6</v>
      </c>
      <c r="H9" s="10">
        <f>設定!$B$26</f>
        <v/>
      </c>
      <c r="I9" s="10">
        <f>IF(設定!$B$26="","",TEXT(設定!$C$26,"m/d")&amp;"〜"&amp;TEXT(設定!$D$26,"m/d"))</f>
        <v/>
      </c>
      <c r="J9" s="19">
        <f>IF(設定!$B$26="","",SUMIF($C$4:$C$34,$G9,$D$4:$D$34))</f>
        <v/>
      </c>
      <c r="K9" s="18">
        <f>IF(設定!$B$26="","",IF($J$10=0,0,$J9/$J$10))</f>
        <v/>
      </c>
    </row>
    <row r="10">
      <c r="A10" s="11">
        <f>IF(7&lt;=DAY(設定!$B$12),設定!$B$11+6,"")</f>
        <v/>
      </c>
      <c r="B10" s="10">
        <f>IF($A10="","",CHOOSE(WEEKDAY($A10,2),"月","火","水","木","金","土","日"))</f>
        <v/>
      </c>
      <c r="C10" s="10">
        <f>IF($A10="","",IF($A10&lt;=設定!$B$13,1,1+CEILING(($A10-設定!$B$13)/7,1)))</f>
        <v/>
      </c>
      <c r="D10" s="17" t="n"/>
      <c r="E10" s="18">
        <f>IF($A10="","",IF($D$35=0,0,$D10/$D$35))</f>
        <v/>
      </c>
      <c r="I10" s="20" t="inlineStr">
        <is>
          <t>合計</t>
        </is>
      </c>
      <c r="J10" s="21">
        <f>SUM(J4:J9)</f>
        <v/>
      </c>
      <c r="K10" s="22">
        <f>IF($J$10=0,"",SUM(K4:K9))</f>
        <v/>
      </c>
    </row>
    <row r="11">
      <c r="A11" s="11">
        <f>IF(8&lt;=DAY(設定!$B$12),設定!$B$11+7,"")</f>
        <v/>
      </c>
      <c r="B11" s="10">
        <f>IF($A11="","",CHOOSE(WEEKDAY($A11,2),"月","火","水","木","金","土","日"))</f>
        <v/>
      </c>
      <c r="C11" s="10">
        <f>IF($A11="","",IF($A11&lt;=設定!$B$13,1,1+CEILING(($A11-設定!$B$13)/7,1)))</f>
        <v/>
      </c>
      <c r="D11" s="17" t="n"/>
      <c r="E11" s="18">
        <f>IF($A11="","",IF($D$35=0,0,$D11/$D$35))</f>
        <v/>
      </c>
    </row>
    <row r="12">
      <c r="A12" s="11">
        <f>IF(9&lt;=DAY(設定!$B$12),設定!$B$11+8,"")</f>
        <v/>
      </c>
      <c r="B12" s="10">
        <f>IF($A12="","",CHOOSE(WEEKDAY($A12,2),"月","火","水","木","金","土","日"))</f>
        <v/>
      </c>
      <c r="C12" s="10">
        <f>IF($A12="","",IF($A12&lt;=設定!$B$13,1,1+CEILING(($A12-設定!$B$13)/7,1)))</f>
        <v/>
      </c>
      <c r="D12" s="17" t="n"/>
      <c r="E12" s="18">
        <f>IF($A12="","",IF($D$35=0,0,$D12/$D$35))</f>
        <v/>
      </c>
    </row>
    <row r="13">
      <c r="A13" s="11">
        <f>IF(10&lt;=DAY(設定!$B$12),設定!$B$11+9,"")</f>
        <v/>
      </c>
      <c r="B13" s="10">
        <f>IF($A13="","",CHOOSE(WEEKDAY($A13,2),"月","火","水","木","金","土","日"))</f>
        <v/>
      </c>
      <c r="C13" s="10">
        <f>IF($A13="","",IF($A13&lt;=設定!$B$13,1,1+CEILING(($A13-設定!$B$13)/7,1)))</f>
        <v/>
      </c>
      <c r="D13" s="17" t="n"/>
      <c r="E13" s="18">
        <f>IF($A13="","",IF($D$35=0,0,$D13/$D$35))</f>
        <v/>
      </c>
    </row>
    <row r="14">
      <c r="A14" s="11">
        <f>IF(11&lt;=DAY(設定!$B$12),設定!$B$11+10,"")</f>
        <v/>
      </c>
      <c r="B14" s="10">
        <f>IF($A14="","",CHOOSE(WEEKDAY($A14,2),"月","火","水","木","金","土","日"))</f>
        <v/>
      </c>
      <c r="C14" s="10">
        <f>IF($A14="","",IF($A14&lt;=設定!$B$13,1,1+CEILING(($A14-設定!$B$13)/7,1)))</f>
        <v/>
      </c>
      <c r="D14" s="17" t="n"/>
      <c r="E14" s="18">
        <f>IF($A14="","",IF($D$35=0,0,$D14/$D$35))</f>
        <v/>
      </c>
    </row>
    <row r="15">
      <c r="A15" s="11">
        <f>IF(12&lt;=DAY(設定!$B$12),設定!$B$11+11,"")</f>
        <v/>
      </c>
      <c r="B15" s="10">
        <f>IF($A15="","",CHOOSE(WEEKDAY($A15,2),"月","火","水","木","金","土","日"))</f>
        <v/>
      </c>
      <c r="C15" s="10">
        <f>IF($A15="","",IF($A15&lt;=設定!$B$13,1,1+CEILING(($A15-設定!$B$13)/7,1)))</f>
        <v/>
      </c>
      <c r="D15" s="17" t="n"/>
      <c r="E15" s="18">
        <f>IF($A15="","",IF($D$35=0,0,$D15/$D$35))</f>
        <v/>
      </c>
    </row>
    <row r="16">
      <c r="A16" s="11">
        <f>IF(13&lt;=DAY(設定!$B$12),設定!$B$11+12,"")</f>
        <v/>
      </c>
      <c r="B16" s="10">
        <f>IF($A16="","",CHOOSE(WEEKDAY($A16,2),"月","火","水","木","金","土","日"))</f>
        <v/>
      </c>
      <c r="C16" s="10">
        <f>IF($A16="","",IF($A16&lt;=設定!$B$13,1,1+CEILING(($A16-設定!$B$13)/7,1)))</f>
        <v/>
      </c>
      <c r="D16" s="17" t="n"/>
      <c r="E16" s="18">
        <f>IF($A16="","",IF($D$35=0,0,$D16/$D$35))</f>
        <v/>
      </c>
    </row>
    <row r="17">
      <c r="A17" s="11">
        <f>IF(14&lt;=DAY(設定!$B$12),設定!$B$11+13,"")</f>
        <v/>
      </c>
      <c r="B17" s="10">
        <f>IF($A17="","",CHOOSE(WEEKDAY($A17,2),"月","火","水","木","金","土","日"))</f>
        <v/>
      </c>
      <c r="C17" s="10">
        <f>IF($A17="","",IF($A17&lt;=設定!$B$13,1,1+CEILING(($A17-設定!$B$13)/7,1)))</f>
        <v/>
      </c>
      <c r="D17" s="17" t="n"/>
      <c r="E17" s="18">
        <f>IF($A17="","",IF($D$35=0,0,$D17/$D$35))</f>
        <v/>
      </c>
    </row>
    <row r="18">
      <c r="A18" s="11">
        <f>IF(15&lt;=DAY(設定!$B$12),設定!$B$11+14,"")</f>
        <v/>
      </c>
      <c r="B18" s="10">
        <f>IF($A18="","",CHOOSE(WEEKDAY($A18,2),"月","火","水","木","金","土","日"))</f>
        <v/>
      </c>
      <c r="C18" s="10">
        <f>IF($A18="","",IF($A18&lt;=設定!$B$13,1,1+CEILING(($A18-設定!$B$13)/7,1)))</f>
        <v/>
      </c>
      <c r="D18" s="17" t="n"/>
      <c r="E18" s="18">
        <f>IF($A18="","",IF($D$35=0,0,$D18/$D$35))</f>
        <v/>
      </c>
    </row>
    <row r="19">
      <c r="A19" s="11">
        <f>IF(16&lt;=DAY(設定!$B$12),設定!$B$11+15,"")</f>
        <v/>
      </c>
      <c r="B19" s="10">
        <f>IF($A19="","",CHOOSE(WEEKDAY($A19,2),"月","火","水","木","金","土","日"))</f>
        <v/>
      </c>
      <c r="C19" s="10">
        <f>IF($A19="","",IF($A19&lt;=設定!$B$13,1,1+CEILING(($A19-設定!$B$13)/7,1)))</f>
        <v/>
      </c>
      <c r="D19" s="17" t="n"/>
      <c r="E19" s="18">
        <f>IF($A19="","",IF($D$35=0,0,$D19/$D$35))</f>
        <v/>
      </c>
    </row>
    <row r="20">
      <c r="A20" s="11">
        <f>IF(17&lt;=DAY(設定!$B$12),設定!$B$11+16,"")</f>
        <v/>
      </c>
      <c r="B20" s="10">
        <f>IF($A20="","",CHOOSE(WEEKDAY($A20,2),"月","火","水","木","金","土","日"))</f>
        <v/>
      </c>
      <c r="C20" s="10">
        <f>IF($A20="","",IF($A20&lt;=設定!$B$13,1,1+CEILING(($A20-設定!$B$13)/7,1)))</f>
        <v/>
      </c>
      <c r="D20" s="17" t="n"/>
      <c r="E20" s="18">
        <f>IF($A20="","",IF($D$35=0,0,$D20/$D$35))</f>
        <v/>
      </c>
    </row>
    <row r="21">
      <c r="A21" s="11">
        <f>IF(18&lt;=DAY(設定!$B$12),設定!$B$11+17,"")</f>
        <v/>
      </c>
      <c r="B21" s="10">
        <f>IF($A21="","",CHOOSE(WEEKDAY($A21,2),"月","火","水","木","金","土","日"))</f>
        <v/>
      </c>
      <c r="C21" s="10">
        <f>IF($A21="","",IF($A21&lt;=設定!$B$13,1,1+CEILING(($A21-設定!$B$13)/7,1)))</f>
        <v/>
      </c>
      <c r="D21" s="17" t="n"/>
      <c r="E21" s="18">
        <f>IF($A21="","",IF($D$35=0,0,$D21/$D$35))</f>
        <v/>
      </c>
    </row>
    <row r="22">
      <c r="A22" s="11">
        <f>IF(19&lt;=DAY(設定!$B$12),設定!$B$11+18,"")</f>
        <v/>
      </c>
      <c r="B22" s="10">
        <f>IF($A22="","",CHOOSE(WEEKDAY($A22,2),"月","火","水","木","金","土","日"))</f>
        <v/>
      </c>
      <c r="C22" s="10">
        <f>IF($A22="","",IF($A22&lt;=設定!$B$13,1,1+CEILING(($A22-設定!$B$13)/7,1)))</f>
        <v/>
      </c>
      <c r="D22" s="17" t="n"/>
      <c r="E22" s="18">
        <f>IF($A22="","",IF($D$35=0,0,$D22/$D$35))</f>
        <v/>
      </c>
    </row>
    <row r="23">
      <c r="A23" s="11">
        <f>IF(20&lt;=DAY(設定!$B$12),設定!$B$11+19,"")</f>
        <v/>
      </c>
      <c r="B23" s="10">
        <f>IF($A23="","",CHOOSE(WEEKDAY($A23,2),"月","火","水","木","金","土","日"))</f>
        <v/>
      </c>
      <c r="C23" s="10">
        <f>IF($A23="","",IF($A23&lt;=設定!$B$13,1,1+CEILING(($A23-設定!$B$13)/7,1)))</f>
        <v/>
      </c>
      <c r="D23" s="17" t="n"/>
      <c r="E23" s="18">
        <f>IF($A23="","",IF($D$35=0,0,$D23/$D$35))</f>
        <v/>
      </c>
    </row>
    <row r="24">
      <c r="A24" s="11">
        <f>IF(21&lt;=DAY(設定!$B$12),設定!$B$11+20,"")</f>
        <v/>
      </c>
      <c r="B24" s="10">
        <f>IF($A24="","",CHOOSE(WEEKDAY($A24,2),"月","火","水","木","金","土","日"))</f>
        <v/>
      </c>
      <c r="C24" s="10">
        <f>IF($A24="","",IF($A24&lt;=設定!$B$13,1,1+CEILING(($A24-設定!$B$13)/7,1)))</f>
        <v/>
      </c>
      <c r="D24" s="17" t="n"/>
      <c r="E24" s="18">
        <f>IF($A24="","",IF($D$35=0,0,$D24/$D$35))</f>
        <v/>
      </c>
    </row>
    <row r="25">
      <c r="A25" s="11">
        <f>IF(22&lt;=DAY(設定!$B$12),設定!$B$11+21,"")</f>
        <v/>
      </c>
      <c r="B25" s="10">
        <f>IF($A25="","",CHOOSE(WEEKDAY($A25,2),"月","火","水","木","金","土","日"))</f>
        <v/>
      </c>
      <c r="C25" s="10">
        <f>IF($A25="","",IF($A25&lt;=設定!$B$13,1,1+CEILING(($A25-設定!$B$13)/7,1)))</f>
        <v/>
      </c>
      <c r="D25" s="17" t="n"/>
      <c r="E25" s="18">
        <f>IF($A25="","",IF($D$35=0,0,$D25/$D$35))</f>
        <v/>
      </c>
    </row>
    <row r="26">
      <c r="A26" s="11">
        <f>IF(23&lt;=DAY(設定!$B$12),設定!$B$11+22,"")</f>
        <v/>
      </c>
      <c r="B26" s="10">
        <f>IF($A26="","",CHOOSE(WEEKDAY($A26,2),"月","火","水","木","金","土","日"))</f>
        <v/>
      </c>
      <c r="C26" s="10">
        <f>IF($A26="","",IF($A26&lt;=設定!$B$13,1,1+CEILING(($A26-設定!$B$13)/7,1)))</f>
        <v/>
      </c>
      <c r="D26" s="17" t="n"/>
      <c r="E26" s="18">
        <f>IF($A26="","",IF($D$35=0,0,$D26/$D$35))</f>
        <v/>
      </c>
    </row>
    <row r="27">
      <c r="A27" s="11">
        <f>IF(24&lt;=DAY(設定!$B$12),設定!$B$11+23,"")</f>
        <v/>
      </c>
      <c r="B27" s="10">
        <f>IF($A27="","",CHOOSE(WEEKDAY($A27,2),"月","火","水","木","金","土","日"))</f>
        <v/>
      </c>
      <c r="C27" s="10">
        <f>IF($A27="","",IF($A27&lt;=設定!$B$13,1,1+CEILING(($A27-設定!$B$13)/7,1)))</f>
        <v/>
      </c>
      <c r="D27" s="17" t="n"/>
      <c r="E27" s="18">
        <f>IF($A27="","",IF($D$35=0,0,$D27/$D$35))</f>
        <v/>
      </c>
    </row>
    <row r="28">
      <c r="A28" s="11">
        <f>IF(25&lt;=DAY(設定!$B$12),設定!$B$11+24,"")</f>
        <v/>
      </c>
      <c r="B28" s="10">
        <f>IF($A28="","",CHOOSE(WEEKDAY($A28,2),"月","火","水","木","金","土","日"))</f>
        <v/>
      </c>
      <c r="C28" s="10">
        <f>IF($A28="","",IF($A28&lt;=設定!$B$13,1,1+CEILING(($A28-設定!$B$13)/7,1)))</f>
        <v/>
      </c>
      <c r="D28" s="17" t="n"/>
      <c r="E28" s="18">
        <f>IF($A28="","",IF($D$35=0,0,$D28/$D$35))</f>
        <v/>
      </c>
    </row>
    <row r="29">
      <c r="A29" s="11">
        <f>IF(26&lt;=DAY(設定!$B$12),設定!$B$11+25,"")</f>
        <v/>
      </c>
      <c r="B29" s="10">
        <f>IF($A29="","",CHOOSE(WEEKDAY($A29,2),"月","火","水","木","金","土","日"))</f>
        <v/>
      </c>
      <c r="C29" s="10">
        <f>IF($A29="","",IF($A29&lt;=設定!$B$13,1,1+CEILING(($A29-設定!$B$13)/7,1)))</f>
        <v/>
      </c>
      <c r="D29" s="17" t="n"/>
      <c r="E29" s="18">
        <f>IF($A29="","",IF($D$35=0,0,$D29/$D$35))</f>
        <v/>
      </c>
    </row>
    <row r="30">
      <c r="A30" s="11">
        <f>IF(27&lt;=DAY(設定!$B$12),設定!$B$11+26,"")</f>
        <v/>
      </c>
      <c r="B30" s="10">
        <f>IF($A30="","",CHOOSE(WEEKDAY($A30,2),"月","火","水","木","金","土","日"))</f>
        <v/>
      </c>
      <c r="C30" s="10">
        <f>IF($A30="","",IF($A30&lt;=設定!$B$13,1,1+CEILING(($A30-設定!$B$13)/7,1)))</f>
        <v/>
      </c>
      <c r="D30" s="17" t="n"/>
      <c r="E30" s="18">
        <f>IF($A30="","",IF($D$35=0,0,$D30/$D$35))</f>
        <v/>
      </c>
    </row>
    <row r="31">
      <c r="A31" s="11">
        <f>IF(28&lt;=DAY(設定!$B$12),設定!$B$11+27,"")</f>
        <v/>
      </c>
      <c r="B31" s="10">
        <f>IF($A31="","",CHOOSE(WEEKDAY($A31,2),"月","火","水","木","金","土","日"))</f>
        <v/>
      </c>
      <c r="C31" s="10">
        <f>IF($A31="","",IF($A31&lt;=設定!$B$13,1,1+CEILING(($A31-設定!$B$13)/7,1)))</f>
        <v/>
      </c>
      <c r="D31" s="17" t="n"/>
      <c r="E31" s="18">
        <f>IF($A31="","",IF($D$35=0,0,$D31/$D$35))</f>
        <v/>
      </c>
    </row>
    <row r="32">
      <c r="A32" s="11">
        <f>IF(29&lt;=DAY(設定!$B$12),設定!$B$11+28,"")</f>
        <v/>
      </c>
      <c r="B32" s="10">
        <f>IF($A32="","",CHOOSE(WEEKDAY($A32,2),"月","火","水","木","金","土","日"))</f>
        <v/>
      </c>
      <c r="C32" s="10">
        <f>IF($A32="","",IF($A32&lt;=設定!$B$13,1,1+CEILING(($A32-設定!$B$13)/7,1)))</f>
        <v/>
      </c>
      <c r="D32" s="17" t="n"/>
      <c r="E32" s="18">
        <f>IF($A32="","",IF($D$35=0,0,$D32/$D$35))</f>
        <v/>
      </c>
    </row>
    <row r="33">
      <c r="A33" s="11">
        <f>IF(30&lt;=DAY(設定!$B$12),設定!$B$11+29,"")</f>
        <v/>
      </c>
      <c r="B33" s="10">
        <f>IF($A33="","",CHOOSE(WEEKDAY($A33,2),"月","火","水","木","金","土","日"))</f>
        <v/>
      </c>
      <c r="C33" s="10">
        <f>IF($A33="","",IF($A33&lt;=設定!$B$13,1,1+CEILING(($A33-設定!$B$13)/7,1)))</f>
        <v/>
      </c>
      <c r="D33" s="17" t="n"/>
      <c r="E33" s="18">
        <f>IF($A33="","",IF($D$35=0,0,$D33/$D$35))</f>
        <v/>
      </c>
    </row>
    <row r="34">
      <c r="A34" s="11">
        <f>IF(31&lt;=DAY(設定!$B$12),設定!$B$11+30,"")</f>
        <v/>
      </c>
      <c r="B34" s="10">
        <f>IF($A34="","",CHOOSE(WEEKDAY($A34,2),"月","火","水","木","金","土","日"))</f>
        <v/>
      </c>
      <c r="C34" s="10">
        <f>IF($A34="","",IF($A34&lt;=設定!$B$13,1,1+CEILING(($A34-設定!$B$13)/7,1)))</f>
        <v/>
      </c>
      <c r="D34" s="17" t="n"/>
      <c r="E34" s="18">
        <f>IF($A34="","",IF($D$35=0,0,$D34/$D$35))</f>
        <v/>
      </c>
    </row>
    <row r="35">
      <c r="A35" s="23" t="inlineStr">
        <is>
          <t>合計</t>
        </is>
      </c>
      <c r="B35" s="24" t="n"/>
      <c r="C35" s="24" t="n"/>
      <c r="D35" s="21">
        <f>SUM(D4:D34)</f>
        <v/>
      </c>
      <c r="E35" s="22">
        <f>IF($D$35=0,"",SUM(E4:E34))</f>
        <v/>
      </c>
    </row>
  </sheetData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S108"/>
  <sheetViews>
    <sheetView showGridLines="0"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30" customWidth="1" min="2" max="2"/>
    <col width="11" customWidth="1" min="3" max="3"/>
    <col width="8" customWidth="1" min="4" max="4"/>
    <col width="8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8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項目別の実施予定</t>
        </is>
      </c>
    </row>
    <row r="2">
      <c r="A2" s="2" t="inlineStr">
        <is>
          <t>黄色のセルに入力します。金額 ＝ 単価 × 時間 × 人数 × 回数（回数＝その週に何回・何日実施するか）。行は自由に増やせます。</t>
        </is>
      </c>
    </row>
    <row r="3">
      <c r="F3" s="9" t="inlineStr">
        <is>
          <t>週ごとの回数（日数）を入力</t>
        </is>
      </c>
      <c r="N3" s="25" t="inlineStr">
        <is>
          <t>週別金額（自動計算）</t>
        </is>
      </c>
    </row>
    <row r="4">
      <c r="A4" s="26" t="inlineStr">
        <is>
          <t>項目</t>
        </is>
      </c>
      <c r="B4" s="26" t="inlineStr">
        <is>
          <t>内容</t>
        </is>
      </c>
      <c r="C4" s="26" t="inlineStr">
        <is>
          <t>単価(時給)</t>
        </is>
      </c>
      <c r="D4" s="26" t="inlineStr">
        <is>
          <t>時間</t>
        </is>
      </c>
      <c r="E4" s="26" t="inlineStr">
        <is>
          <t>人数</t>
        </is>
      </c>
      <c r="F4" s="9">
        <f>設定!$B$21</f>
        <v/>
      </c>
      <c r="G4" s="9">
        <f>設定!$B$22</f>
        <v/>
      </c>
      <c r="H4" s="9">
        <f>設定!$B$23</f>
        <v/>
      </c>
      <c r="I4" s="9">
        <f>設定!$B$24</f>
        <v/>
      </c>
      <c r="J4" s="9">
        <f>設定!$B$25</f>
        <v/>
      </c>
      <c r="K4" s="9">
        <f>設定!$B$26</f>
        <v/>
      </c>
      <c r="L4" s="26" t="inlineStr">
        <is>
          <t>回数計</t>
        </is>
      </c>
      <c r="M4" s="26" t="inlineStr">
        <is>
          <t>金額計</t>
        </is>
      </c>
      <c r="N4" s="25">
        <f>設定!$B$21</f>
        <v/>
      </c>
      <c r="O4" s="25">
        <f>設定!$B$22</f>
        <v/>
      </c>
      <c r="P4" s="25">
        <f>設定!$B$23</f>
        <v/>
      </c>
      <c r="Q4" s="25">
        <f>設定!$B$24</f>
        <v/>
      </c>
      <c r="R4" s="25">
        <f>設定!$B$25</f>
        <v/>
      </c>
      <c r="S4" s="25">
        <f>設定!$B$26</f>
        <v/>
      </c>
    </row>
    <row r="5">
      <c r="A5" s="16" t="inlineStr">
        <is>
          <t>障がい者雇用</t>
        </is>
      </c>
      <c r="B5" s="16" t="inlineStr">
        <is>
          <t>駒澤さん</t>
        </is>
      </c>
      <c r="C5" s="17" t="n">
        <v>1236</v>
      </c>
      <c r="D5" s="27" t="n">
        <v>5</v>
      </c>
      <c r="E5" s="27" t="n">
        <v>1</v>
      </c>
      <c r="F5" s="28" t="n">
        <v>3</v>
      </c>
      <c r="G5" s="28" t="n">
        <v>3</v>
      </c>
      <c r="H5" s="28" t="n">
        <v>3</v>
      </c>
      <c r="I5" s="28" t="n">
        <v>3</v>
      </c>
      <c r="J5" s="28" t="n">
        <v>3</v>
      </c>
      <c r="K5" s="28" t="n"/>
      <c r="L5" s="29">
        <f>IF($A5="","",SUMPRODUCT(($F$4:$K$4&lt;&gt;"")*$F5:$K5))</f>
        <v/>
      </c>
      <c r="M5" s="19">
        <f>IF($A5="","",SUM($N5:$S5))</f>
        <v/>
      </c>
      <c r="N5" s="19">
        <f>IF(OR($A5="",N$4=""),"",$C5*$D5*$E5*F5)</f>
        <v/>
      </c>
      <c r="O5" s="19">
        <f>IF(OR($A5="",O$4=""),"",$C5*$D5*$E5*G5)</f>
        <v/>
      </c>
      <c r="P5" s="19">
        <f>IF(OR($A5="",P$4=""),"",$C5*$D5*$E5*H5)</f>
        <v/>
      </c>
      <c r="Q5" s="19">
        <f>IF(OR($A5="",Q$4=""),"",$C5*$D5*$E5*I5)</f>
        <v/>
      </c>
      <c r="R5" s="19">
        <f>IF(OR($A5="",R$4=""),"",$C5*$D5*$E5*J5)</f>
        <v/>
      </c>
      <c r="S5" s="19">
        <f>IF(OR($A5="",S$4=""),"",$C5*$D5*$E5*K5)</f>
        <v/>
      </c>
    </row>
    <row r="6">
      <c r="A6" s="16" t="inlineStr">
        <is>
          <t>新規採用研修（トレーニー）</t>
        </is>
      </c>
      <c r="B6" s="16" t="inlineStr">
        <is>
          <t>週2〜3名</t>
        </is>
      </c>
      <c r="C6" s="17" t="n">
        <v>1226</v>
      </c>
      <c r="D6" s="27" t="n">
        <v>5.5</v>
      </c>
      <c r="E6" s="27" t="n">
        <v>2</v>
      </c>
      <c r="F6" s="28" t="n"/>
      <c r="G6" s="28" t="n"/>
      <c r="H6" s="28" t="n"/>
      <c r="I6" s="28" t="n"/>
      <c r="J6" s="28" t="n"/>
      <c r="K6" s="28" t="n"/>
      <c r="L6" s="29">
        <f>IF($A6="","",SUMPRODUCT(($F$4:$K$4&lt;&gt;"")*$F6:$K6))</f>
        <v/>
      </c>
      <c r="M6" s="19">
        <f>IF($A6="","",SUM($N6:$S6))</f>
        <v/>
      </c>
      <c r="N6" s="19">
        <f>IF(OR($A6="",N$4=""),"",$C6*$D6*$E6*F6)</f>
        <v/>
      </c>
      <c r="O6" s="19">
        <f>IF(OR($A6="",O$4=""),"",$C6*$D6*$E6*G6)</f>
        <v/>
      </c>
      <c r="P6" s="19">
        <f>IF(OR($A6="",P$4=""),"",$C6*$D6*$E6*H6)</f>
        <v/>
      </c>
      <c r="Q6" s="19">
        <f>IF(OR($A6="",Q$4=""),"",$C6*$D6*$E6*I6)</f>
        <v/>
      </c>
      <c r="R6" s="19">
        <f>IF(OR($A6="",R$4=""),"",$C6*$D6*$E6*J6)</f>
        <v/>
      </c>
      <c r="S6" s="19">
        <f>IF(OR($A6="",S$4=""),"",$C6*$D6*$E6*K6)</f>
        <v/>
      </c>
    </row>
    <row r="7">
      <c r="A7" s="16" t="inlineStr">
        <is>
          <t>新規採用研修（トレーニー）</t>
        </is>
      </c>
      <c r="B7" s="16" t="inlineStr">
        <is>
          <t>カンポリ参加</t>
        </is>
      </c>
      <c r="C7" s="17" t="n">
        <v>1226</v>
      </c>
      <c r="D7" s="27" t="n">
        <v>2.15</v>
      </c>
      <c r="E7" s="27" t="n">
        <v>3</v>
      </c>
      <c r="F7" s="28" t="n"/>
      <c r="G7" s="28" t="n"/>
      <c r="H7" s="28" t="n"/>
      <c r="I7" s="28" t="n"/>
      <c r="J7" s="28" t="n"/>
      <c r="K7" s="28" t="n"/>
      <c r="L7" s="29">
        <f>IF($A7="","",SUMPRODUCT(($F$4:$K$4&lt;&gt;"")*$F7:$K7))</f>
        <v/>
      </c>
      <c r="M7" s="19">
        <f>IF($A7="","",SUM($N7:$S7))</f>
        <v/>
      </c>
      <c r="N7" s="19">
        <f>IF(OR($A7="",N$4=""),"",$C7*$D7*$E7*F7)</f>
        <v/>
      </c>
      <c r="O7" s="19">
        <f>IF(OR($A7="",O$4=""),"",$C7*$D7*$E7*G7)</f>
        <v/>
      </c>
      <c r="P7" s="19">
        <f>IF(OR($A7="",P$4=""),"",$C7*$D7*$E7*H7)</f>
        <v/>
      </c>
      <c r="Q7" s="19">
        <f>IF(OR($A7="",Q$4=""),"",$C7*$D7*$E7*I7)</f>
        <v/>
      </c>
      <c r="R7" s="19">
        <f>IF(OR($A7="",R$4=""),"",$C7*$D7*$E7*J7)</f>
        <v/>
      </c>
      <c r="S7" s="19">
        <f>IF(OR($A7="",S$4=""),"",$C7*$D7*$E7*K7)</f>
        <v/>
      </c>
    </row>
    <row r="8">
      <c r="A8" s="16" t="inlineStr">
        <is>
          <t>新規採用研修（トレーナー）</t>
        </is>
      </c>
      <c r="B8" s="16" t="inlineStr">
        <is>
          <t>週2〜3名</t>
        </is>
      </c>
      <c r="C8" s="17" t="n">
        <v>1251</v>
      </c>
      <c r="D8" s="27" t="n">
        <v>5.5</v>
      </c>
      <c r="E8" s="27" t="n">
        <v>1</v>
      </c>
      <c r="F8" s="28" t="n"/>
      <c r="G8" s="28" t="n"/>
      <c r="H8" s="28" t="n"/>
      <c r="I8" s="28" t="n"/>
      <c r="J8" s="28" t="n"/>
      <c r="K8" s="28" t="n"/>
      <c r="L8" s="29">
        <f>IF($A8="","",SUMPRODUCT(($F$4:$K$4&lt;&gt;"")*$F8:$K8))</f>
        <v/>
      </c>
      <c r="M8" s="19">
        <f>IF($A8="","",SUM($N8:$S8))</f>
        <v/>
      </c>
      <c r="N8" s="19">
        <f>IF(OR($A8="",N$4=""),"",$C8*$D8*$E8*F8)</f>
        <v/>
      </c>
      <c r="O8" s="19">
        <f>IF(OR($A8="",O$4=""),"",$C8*$D8*$E8*G8)</f>
        <v/>
      </c>
      <c r="P8" s="19">
        <f>IF(OR($A8="",P$4=""),"",$C8*$D8*$E8*H8)</f>
        <v/>
      </c>
      <c r="Q8" s="19">
        <f>IF(OR($A8="",Q$4=""),"",$C8*$D8*$E8*I8)</f>
        <v/>
      </c>
      <c r="R8" s="19">
        <f>IF(OR($A8="",R$4=""),"",$C8*$D8*$E8*J8)</f>
        <v/>
      </c>
      <c r="S8" s="19">
        <f>IF(OR($A8="",S$4=""),"",$C8*$D8*$E8*K8)</f>
        <v/>
      </c>
    </row>
    <row r="9">
      <c r="A9" s="16" t="inlineStr">
        <is>
          <t>新規採用研修（トレーナー）</t>
        </is>
      </c>
      <c r="B9" s="16" t="inlineStr">
        <is>
          <t>通常</t>
        </is>
      </c>
      <c r="C9" s="17" t="n">
        <v>1251</v>
      </c>
      <c r="D9" s="27" t="n">
        <v>5</v>
      </c>
      <c r="E9" s="27" t="n">
        <v>4</v>
      </c>
      <c r="F9" s="28" t="n"/>
      <c r="G9" s="28" t="n"/>
      <c r="H9" s="28" t="n"/>
      <c r="I9" s="28" t="n"/>
      <c r="J9" s="28" t="n"/>
      <c r="K9" s="28" t="n"/>
      <c r="L9" s="29">
        <f>IF($A9="","",SUMPRODUCT(($F$4:$K$4&lt;&gt;"")*$F9:$K9))</f>
        <v/>
      </c>
      <c r="M9" s="19">
        <f>IF($A9="","",SUM($N9:$S9))</f>
        <v/>
      </c>
      <c r="N9" s="19">
        <f>IF(OR($A9="",N$4=""),"",$C9*$D9*$E9*F9)</f>
        <v/>
      </c>
      <c r="O9" s="19">
        <f>IF(OR($A9="",O$4=""),"",$C9*$D9*$E9*G9)</f>
        <v/>
      </c>
      <c r="P9" s="19">
        <f>IF(OR($A9="",P$4=""),"",$C9*$D9*$E9*H9)</f>
        <v/>
      </c>
      <c r="Q9" s="19">
        <f>IF(OR($A9="",Q$4=""),"",$C9*$D9*$E9*I9)</f>
        <v/>
      </c>
      <c r="R9" s="19">
        <f>IF(OR($A9="",R$4=""),"",$C9*$D9*$E9*J9)</f>
        <v/>
      </c>
      <c r="S9" s="19">
        <f>IF(OR($A9="",S$4=""),"",$C9*$D9*$E9*K9)</f>
        <v/>
      </c>
    </row>
    <row r="10">
      <c r="A10" s="16" t="inlineStr">
        <is>
          <t>既存スタッフ研修</t>
        </is>
      </c>
      <c r="B10" s="16" t="inlineStr">
        <is>
          <t>週1</t>
        </is>
      </c>
      <c r="C10" s="17" t="n">
        <v>1251</v>
      </c>
      <c r="D10" s="27" t="n">
        <v>1</v>
      </c>
      <c r="E10" s="27" t="n">
        <v>1</v>
      </c>
      <c r="F10" s="28" t="n">
        <v>1</v>
      </c>
      <c r="G10" s="28" t="n"/>
      <c r="H10" s="28" t="n"/>
      <c r="I10" s="28" t="n"/>
      <c r="J10" s="28" t="n"/>
      <c r="K10" s="28" t="n"/>
      <c r="L10" s="29">
        <f>IF($A10="","",SUMPRODUCT(($F$4:$K$4&lt;&gt;"")*$F10:$K10))</f>
        <v/>
      </c>
      <c r="M10" s="19">
        <f>IF($A10="","",SUM($N10:$S10))</f>
        <v/>
      </c>
      <c r="N10" s="19">
        <f>IF(OR($A10="",N$4=""),"",$C10*$D10*$E10*F10)</f>
        <v/>
      </c>
      <c r="O10" s="19">
        <f>IF(OR($A10="",O$4=""),"",$C10*$D10*$E10*G10)</f>
        <v/>
      </c>
      <c r="P10" s="19">
        <f>IF(OR($A10="",P$4=""),"",$C10*$D10*$E10*H10)</f>
        <v/>
      </c>
      <c r="Q10" s="19">
        <f>IF(OR($A10="",Q$4=""),"",$C10*$D10*$E10*I10)</f>
        <v/>
      </c>
      <c r="R10" s="19">
        <f>IF(OR($A10="",R$4=""),"",$C10*$D10*$E10*J10)</f>
        <v/>
      </c>
      <c r="S10" s="19">
        <f>IF(OR($A10="",S$4=""),"",$C10*$D10*$E10*K10)</f>
        <v/>
      </c>
    </row>
    <row r="11">
      <c r="A11" s="16" t="inlineStr">
        <is>
          <t>既存スタッフ研修</t>
        </is>
      </c>
      <c r="B11" s="16" t="inlineStr">
        <is>
          <t>週2</t>
        </is>
      </c>
      <c r="C11" s="17" t="n">
        <v>1251</v>
      </c>
      <c r="D11" s="27" t="n">
        <v>1.5</v>
      </c>
      <c r="E11" s="27" t="n">
        <v>3</v>
      </c>
      <c r="F11" s="28" t="n"/>
      <c r="G11" s="28" t="n">
        <v>1</v>
      </c>
      <c r="H11" s="28" t="n"/>
      <c r="I11" s="28" t="n"/>
      <c r="J11" s="28" t="n"/>
      <c r="K11" s="28" t="n"/>
      <c r="L11" s="29">
        <f>IF($A11="","",SUMPRODUCT(($F$4:$K$4&lt;&gt;"")*$F11:$K11))</f>
        <v/>
      </c>
      <c r="M11" s="19">
        <f>IF($A11="","",SUM($N11:$S11))</f>
        <v/>
      </c>
      <c r="N11" s="19">
        <f>IF(OR($A11="",N$4=""),"",$C11*$D11*$E11*F11)</f>
        <v/>
      </c>
      <c r="O11" s="19">
        <f>IF(OR($A11="",O$4=""),"",$C11*$D11*$E11*G11)</f>
        <v/>
      </c>
      <c r="P11" s="19">
        <f>IF(OR($A11="",P$4=""),"",$C11*$D11*$E11*H11)</f>
        <v/>
      </c>
      <c r="Q11" s="19">
        <f>IF(OR($A11="",Q$4=""),"",$C11*$D11*$E11*I11)</f>
        <v/>
      </c>
      <c r="R11" s="19">
        <f>IF(OR($A11="",R$4=""),"",$C11*$D11*$E11*J11)</f>
        <v/>
      </c>
      <c r="S11" s="19">
        <f>IF(OR($A11="",S$4=""),"",$C11*$D11*$E11*K11)</f>
        <v/>
      </c>
    </row>
    <row r="12">
      <c r="A12" s="16" t="inlineStr">
        <is>
          <t>既存スタッフ研修</t>
        </is>
      </c>
      <c r="B12" s="16" t="inlineStr">
        <is>
          <t>週3</t>
        </is>
      </c>
      <c r="C12" s="17" t="n">
        <v>1251</v>
      </c>
      <c r="D12" s="27" t="n">
        <v>1.75</v>
      </c>
      <c r="E12" s="27" t="n">
        <v>6</v>
      </c>
      <c r="F12" s="28" t="n"/>
      <c r="G12" s="28" t="n"/>
      <c r="H12" s="28" t="n">
        <v>1</v>
      </c>
      <c r="I12" s="28" t="n"/>
      <c r="J12" s="28" t="n"/>
      <c r="K12" s="28" t="n"/>
      <c r="L12" s="29">
        <f>IF($A12="","",SUMPRODUCT(($F$4:$K$4&lt;&gt;"")*$F12:$K12))</f>
        <v/>
      </c>
      <c r="M12" s="19">
        <f>IF($A12="","",SUM($N12:$S12))</f>
        <v/>
      </c>
      <c r="N12" s="19">
        <f>IF(OR($A12="",N$4=""),"",$C12*$D12*$E12*F12)</f>
        <v/>
      </c>
      <c r="O12" s="19">
        <f>IF(OR($A12="",O$4=""),"",$C12*$D12*$E12*G12)</f>
        <v/>
      </c>
      <c r="P12" s="19">
        <f>IF(OR($A12="",P$4=""),"",$C12*$D12*$E12*H12)</f>
        <v/>
      </c>
      <c r="Q12" s="19">
        <f>IF(OR($A12="",Q$4=""),"",$C12*$D12*$E12*I12)</f>
        <v/>
      </c>
      <c r="R12" s="19">
        <f>IF(OR($A12="",R$4=""),"",$C12*$D12*$E12*J12)</f>
        <v/>
      </c>
      <c r="S12" s="19">
        <f>IF(OR($A12="",S$4=""),"",$C12*$D12*$E12*K12)</f>
        <v/>
      </c>
    </row>
    <row r="13">
      <c r="A13" s="16" t="inlineStr">
        <is>
          <t>既存スタッフ研修</t>
        </is>
      </c>
      <c r="B13" s="16" t="inlineStr">
        <is>
          <t>週4</t>
        </is>
      </c>
      <c r="C13" s="17" t="n">
        <v>1251</v>
      </c>
      <c r="D13" s="27" t="n">
        <v>1.5</v>
      </c>
      <c r="E13" s="27" t="n">
        <v>6</v>
      </c>
      <c r="F13" s="28" t="n"/>
      <c r="G13" s="28" t="n"/>
      <c r="H13" s="28" t="n"/>
      <c r="I13" s="28" t="n">
        <v>1</v>
      </c>
      <c r="J13" s="28" t="n"/>
      <c r="K13" s="28" t="n"/>
      <c r="L13" s="29">
        <f>IF($A13="","",SUMPRODUCT(($F$4:$K$4&lt;&gt;"")*$F13:$K13))</f>
        <v/>
      </c>
      <c r="M13" s="19">
        <f>IF($A13="","",SUM($N13:$S13))</f>
        <v/>
      </c>
      <c r="N13" s="19">
        <f>IF(OR($A13="",N$4=""),"",$C13*$D13*$E13*F13)</f>
        <v/>
      </c>
      <c r="O13" s="19">
        <f>IF(OR($A13="",O$4=""),"",$C13*$D13*$E13*G13)</f>
        <v/>
      </c>
      <c r="P13" s="19">
        <f>IF(OR($A13="",P$4=""),"",$C13*$D13*$E13*H13)</f>
        <v/>
      </c>
      <c r="Q13" s="19">
        <f>IF(OR($A13="",Q$4=""),"",$C13*$D13*$E13*I13)</f>
        <v/>
      </c>
      <c r="R13" s="19">
        <f>IF(OR($A13="",R$4=""),"",$C13*$D13*$E13*J13)</f>
        <v/>
      </c>
      <c r="S13" s="19">
        <f>IF(OR($A13="",S$4=""),"",$C13*$D13*$E13*K13)</f>
        <v/>
      </c>
    </row>
    <row r="14">
      <c r="A14" s="16" t="inlineStr">
        <is>
          <t>防災訓練</t>
        </is>
      </c>
      <c r="B14" s="16" t="inlineStr">
        <is>
          <t>週1</t>
        </is>
      </c>
      <c r="C14" s="17" t="n">
        <v>1251</v>
      </c>
      <c r="D14" s="27" t="n">
        <v>0.5</v>
      </c>
      <c r="E14" s="27" t="n">
        <v>10</v>
      </c>
      <c r="F14" s="28" t="n">
        <v>1</v>
      </c>
      <c r="G14" s="28" t="n"/>
      <c r="H14" s="28" t="n"/>
      <c r="I14" s="28" t="n"/>
      <c r="J14" s="28" t="n"/>
      <c r="K14" s="28" t="n"/>
      <c r="L14" s="29">
        <f>IF($A14="","",SUMPRODUCT(($F$4:$K$4&lt;&gt;"")*$F14:$K14))</f>
        <v/>
      </c>
      <c r="M14" s="19">
        <f>IF($A14="","",SUM($N14:$S14))</f>
        <v/>
      </c>
      <c r="N14" s="19">
        <f>IF(OR($A14="",N$4=""),"",$C14*$D14*$E14*F14)</f>
        <v/>
      </c>
      <c r="O14" s="19">
        <f>IF(OR($A14="",O$4=""),"",$C14*$D14*$E14*G14)</f>
        <v/>
      </c>
      <c r="P14" s="19">
        <f>IF(OR($A14="",P$4=""),"",$C14*$D14*$E14*H14)</f>
        <v/>
      </c>
      <c r="Q14" s="19">
        <f>IF(OR($A14="",Q$4=""),"",$C14*$D14*$E14*I14)</f>
        <v/>
      </c>
      <c r="R14" s="19">
        <f>IF(OR($A14="",R$4=""),"",$C14*$D14*$E14*J14)</f>
        <v/>
      </c>
      <c r="S14" s="19">
        <f>IF(OR($A14="",S$4=""),"",$C14*$D14*$E14*K14)</f>
        <v/>
      </c>
    </row>
    <row r="15">
      <c r="A15" s="16" t="inlineStr">
        <is>
          <t>防災訓練</t>
        </is>
      </c>
      <c r="B15" s="16" t="inlineStr">
        <is>
          <t>週2</t>
        </is>
      </c>
      <c r="C15" s="17" t="n">
        <v>1251</v>
      </c>
      <c r="D15" s="27" t="n">
        <v>0.5</v>
      </c>
      <c r="E15" s="27" t="n">
        <v>15</v>
      </c>
      <c r="F15" s="28" t="n"/>
      <c r="G15" s="28" t="n">
        <v>1</v>
      </c>
      <c r="H15" s="28" t="n"/>
      <c r="I15" s="28" t="n"/>
      <c r="J15" s="28" t="n"/>
      <c r="K15" s="28" t="n"/>
      <c r="L15" s="29">
        <f>IF($A15="","",SUMPRODUCT(($F$4:$K$4&lt;&gt;"")*$F15:$K15))</f>
        <v/>
      </c>
      <c r="M15" s="19">
        <f>IF($A15="","",SUM($N15:$S15))</f>
        <v/>
      </c>
      <c r="N15" s="19">
        <f>IF(OR($A15="",N$4=""),"",$C15*$D15*$E15*F15)</f>
        <v/>
      </c>
      <c r="O15" s="19">
        <f>IF(OR($A15="",O$4=""),"",$C15*$D15*$E15*G15)</f>
        <v/>
      </c>
      <c r="P15" s="19">
        <f>IF(OR($A15="",P$4=""),"",$C15*$D15*$E15*H15)</f>
        <v/>
      </c>
      <c r="Q15" s="19">
        <f>IF(OR($A15="",Q$4=""),"",$C15*$D15*$E15*I15)</f>
        <v/>
      </c>
      <c r="R15" s="19">
        <f>IF(OR($A15="",R$4=""),"",$C15*$D15*$E15*J15)</f>
        <v/>
      </c>
      <c r="S15" s="19">
        <f>IF(OR($A15="",S$4=""),"",$C15*$D15*$E15*K15)</f>
        <v/>
      </c>
    </row>
    <row r="16">
      <c r="A16" s="16" t="inlineStr">
        <is>
          <t>防災訓練</t>
        </is>
      </c>
      <c r="B16" s="16" t="inlineStr">
        <is>
          <t>週3</t>
        </is>
      </c>
      <c r="C16" s="17" t="n">
        <v>1251</v>
      </c>
      <c r="D16" s="27" t="n">
        <v>0.75</v>
      </c>
      <c r="E16" s="27" t="n">
        <v>8</v>
      </c>
      <c r="F16" s="28" t="n"/>
      <c r="G16" s="28" t="n"/>
      <c r="H16" s="28" t="n">
        <v>1</v>
      </c>
      <c r="I16" s="28" t="n"/>
      <c r="J16" s="28" t="n"/>
      <c r="K16" s="28" t="n"/>
      <c r="L16" s="29">
        <f>IF($A16="","",SUMPRODUCT(($F$4:$K$4&lt;&gt;"")*$F16:$K16))</f>
        <v/>
      </c>
      <c r="M16" s="19">
        <f>IF($A16="","",SUM($N16:$S16))</f>
        <v/>
      </c>
      <c r="N16" s="19">
        <f>IF(OR($A16="",N$4=""),"",$C16*$D16*$E16*F16)</f>
        <v/>
      </c>
      <c r="O16" s="19">
        <f>IF(OR($A16="",O$4=""),"",$C16*$D16*$E16*G16)</f>
        <v/>
      </c>
      <c r="P16" s="19">
        <f>IF(OR($A16="",P$4=""),"",$C16*$D16*$E16*H16)</f>
        <v/>
      </c>
      <c r="Q16" s="19">
        <f>IF(OR($A16="",Q$4=""),"",$C16*$D16*$E16*I16)</f>
        <v/>
      </c>
      <c r="R16" s="19">
        <f>IF(OR($A16="",R$4=""),"",$C16*$D16*$E16*J16)</f>
        <v/>
      </c>
      <c r="S16" s="19">
        <f>IF(OR($A16="",S$4=""),"",$C16*$D16*$E16*K16)</f>
        <v/>
      </c>
    </row>
    <row r="17">
      <c r="A17" s="16" t="inlineStr">
        <is>
          <t>防災訓練</t>
        </is>
      </c>
      <c r="B17" s="16" t="inlineStr">
        <is>
          <t>週4</t>
        </is>
      </c>
      <c r="C17" s="17" t="n">
        <v>1251</v>
      </c>
      <c r="D17" s="27" t="n">
        <v>0.75</v>
      </c>
      <c r="E17" s="27" t="n">
        <v>2</v>
      </c>
      <c r="F17" s="28" t="n"/>
      <c r="G17" s="28" t="n"/>
      <c r="H17" s="28" t="n"/>
      <c r="I17" s="28" t="n">
        <v>1</v>
      </c>
      <c r="J17" s="28" t="n"/>
      <c r="K17" s="28" t="n"/>
      <c r="L17" s="29">
        <f>IF($A17="","",SUMPRODUCT(($F$4:$K$4&lt;&gt;"")*$F17:$K17))</f>
        <v/>
      </c>
      <c r="M17" s="19">
        <f>IF($A17="","",SUM($N17:$S17))</f>
        <v/>
      </c>
      <c r="N17" s="19">
        <f>IF(OR($A17="",N$4=""),"",$C17*$D17*$E17*F17)</f>
        <v/>
      </c>
      <c r="O17" s="19">
        <f>IF(OR($A17="",O$4=""),"",$C17*$D17*$E17*G17)</f>
        <v/>
      </c>
      <c r="P17" s="19">
        <f>IF(OR($A17="",P$4=""),"",$C17*$D17*$E17*H17)</f>
        <v/>
      </c>
      <c r="Q17" s="19">
        <f>IF(OR($A17="",Q$4=""),"",$C17*$D17*$E17*I17)</f>
        <v/>
      </c>
      <c r="R17" s="19">
        <f>IF(OR($A17="",R$4=""),"",$C17*$D17*$E17*J17)</f>
        <v/>
      </c>
      <c r="S17" s="19">
        <f>IF(OR($A17="",S$4=""),"",$C17*$D17*$E17*K17)</f>
        <v/>
      </c>
    </row>
    <row r="18">
      <c r="A18" s="16" t="inlineStr">
        <is>
          <t>防災訓練</t>
        </is>
      </c>
      <c r="B18" s="16" t="inlineStr">
        <is>
          <t>総合訓練</t>
        </is>
      </c>
      <c r="C18" s="17" t="n">
        <v>1251</v>
      </c>
      <c r="D18" s="27" t="n">
        <v>1</v>
      </c>
      <c r="E18" s="27" t="n">
        <v>8</v>
      </c>
      <c r="F18" s="28" t="n"/>
      <c r="G18" s="28" t="n"/>
      <c r="H18" s="28" t="n"/>
      <c r="I18" s="28" t="n"/>
      <c r="J18" s="28" t="n"/>
      <c r="K18" s="28" t="n"/>
      <c r="L18" s="29">
        <f>IF($A18="","",SUMPRODUCT(($F$4:$K$4&lt;&gt;"")*$F18:$K18))</f>
        <v/>
      </c>
      <c r="M18" s="19">
        <f>IF($A18="","",SUM($N18:$S18))</f>
        <v/>
      </c>
      <c r="N18" s="19">
        <f>IF(OR($A18="",N$4=""),"",$C18*$D18*$E18*F18)</f>
        <v/>
      </c>
      <c r="O18" s="19">
        <f>IF(OR($A18="",O$4=""),"",$C18*$D18*$E18*G18)</f>
        <v/>
      </c>
      <c r="P18" s="19">
        <f>IF(OR($A18="",P$4=""),"",$C18*$D18*$E18*H18)</f>
        <v/>
      </c>
      <c r="Q18" s="19">
        <f>IF(OR($A18="",Q$4=""),"",$C18*$D18*$E18*I18)</f>
        <v/>
      </c>
      <c r="R18" s="19">
        <f>IF(OR($A18="",R$4=""),"",$C18*$D18*$E18*J18)</f>
        <v/>
      </c>
      <c r="S18" s="19">
        <f>IF(OR($A18="",S$4=""),"",$C18*$D18*$E18*K18)</f>
        <v/>
      </c>
    </row>
    <row r="19">
      <c r="A19" s="16" t="inlineStr">
        <is>
          <t>棚卸（予算分）</t>
        </is>
      </c>
      <c r="B19" s="16" t="inlineStr">
        <is>
          <t>棚卸</t>
        </is>
      </c>
      <c r="C19" s="17" t="n">
        <v>1251</v>
      </c>
      <c r="D19" s="27" t="n">
        <v>5</v>
      </c>
      <c r="E19" s="27" t="n">
        <v>5</v>
      </c>
      <c r="F19" s="28" t="n"/>
      <c r="G19" s="28" t="n"/>
      <c r="H19" s="28" t="n"/>
      <c r="I19" s="28" t="n"/>
      <c r="J19" s="28" t="n"/>
      <c r="K19" s="28" t="n"/>
      <c r="L19" s="29">
        <f>IF($A19="","",SUMPRODUCT(($F$4:$K$4&lt;&gt;"")*$F19:$K19))</f>
        <v/>
      </c>
      <c r="M19" s="19">
        <f>IF($A19="","",SUM($N19:$S19))</f>
        <v/>
      </c>
      <c r="N19" s="19">
        <f>IF(OR($A19="",N$4=""),"",$C19*$D19*$E19*F19)</f>
        <v/>
      </c>
      <c r="O19" s="19">
        <f>IF(OR($A19="",O$4=""),"",$C19*$D19*$E19*G19)</f>
        <v/>
      </c>
      <c r="P19" s="19">
        <f>IF(OR($A19="",P$4=""),"",$C19*$D19*$E19*H19)</f>
        <v/>
      </c>
      <c r="Q19" s="19">
        <f>IF(OR($A19="",Q$4=""),"",$C19*$D19*$E19*I19)</f>
        <v/>
      </c>
      <c r="R19" s="19">
        <f>IF(OR($A19="",R$4=""),"",$C19*$D19*$E19*J19)</f>
        <v/>
      </c>
      <c r="S19" s="19">
        <f>IF(OR($A19="",S$4=""),"",$C19*$D19*$E19*K19)</f>
        <v/>
      </c>
    </row>
    <row r="20">
      <c r="A20" s="16" t="inlineStr">
        <is>
          <t>ストア準備・返品（予算分）</t>
        </is>
      </c>
      <c r="B20" s="16" t="inlineStr">
        <is>
          <t>定例（単価以外は変更不可）</t>
        </is>
      </c>
      <c r="C20" s="17" t="n">
        <v>1251</v>
      </c>
      <c r="D20" s="27" t="n">
        <v>2</v>
      </c>
      <c r="E20" s="27" t="n">
        <v>1</v>
      </c>
      <c r="F20" s="28" t="n">
        <v>1</v>
      </c>
      <c r="G20" s="28" t="n">
        <v>1</v>
      </c>
      <c r="H20" s="28" t="n">
        <v>1</v>
      </c>
      <c r="I20" s="28" t="n">
        <v>1</v>
      </c>
      <c r="J20" s="28" t="n">
        <v>1</v>
      </c>
      <c r="K20" s="28" t="n"/>
      <c r="L20" s="29">
        <f>IF($A20="","",SUMPRODUCT(($F$4:$K$4&lt;&gt;"")*$F20:$K20))</f>
        <v/>
      </c>
      <c r="M20" s="19">
        <f>IF($A20="","",SUM($N20:$S20))</f>
        <v/>
      </c>
      <c r="N20" s="19">
        <f>IF(OR($A20="",N$4=""),"",$C20*$D20*$E20*F20)</f>
        <v/>
      </c>
      <c r="O20" s="19">
        <f>IF(OR($A20="",O$4=""),"",$C20*$D20*$E20*G20)</f>
        <v/>
      </c>
      <c r="P20" s="19">
        <f>IF(OR($A20="",P$4=""),"",$C20*$D20*$E20*H20)</f>
        <v/>
      </c>
      <c r="Q20" s="19">
        <f>IF(OR($A20="",Q$4=""),"",$C20*$D20*$E20*I20)</f>
        <v/>
      </c>
      <c r="R20" s="19">
        <f>IF(OR($A20="",R$4=""),"",$C20*$D20*$E20*J20)</f>
        <v/>
      </c>
      <c r="S20" s="19">
        <f>IF(OR($A20="",S$4=""),"",$C20*$D20*$E20*K20)</f>
        <v/>
      </c>
    </row>
    <row r="21">
      <c r="A21" s="16" t="inlineStr">
        <is>
          <t>ストア準備・返品（追加分）</t>
        </is>
      </c>
      <c r="B21" s="16" t="inlineStr">
        <is>
          <t>準備</t>
        </is>
      </c>
      <c r="C21" s="17" t="n">
        <v>1251</v>
      </c>
      <c r="D21" s="27" t="n">
        <v>2</v>
      </c>
      <c r="E21" s="27" t="n">
        <v>2</v>
      </c>
      <c r="F21" s="28" t="n"/>
      <c r="G21" s="28" t="n"/>
      <c r="H21" s="28" t="n"/>
      <c r="I21" s="28" t="n"/>
      <c r="J21" s="28" t="n"/>
      <c r="K21" s="28" t="n"/>
      <c r="L21" s="29">
        <f>IF($A21="","",SUMPRODUCT(($F$4:$K$4&lt;&gt;"")*$F21:$K21))</f>
        <v/>
      </c>
      <c r="M21" s="19">
        <f>IF($A21="","",SUM($N21:$S21))</f>
        <v/>
      </c>
      <c r="N21" s="19">
        <f>IF(OR($A21="",N$4=""),"",$C21*$D21*$E21*F21)</f>
        <v/>
      </c>
      <c r="O21" s="19">
        <f>IF(OR($A21="",O$4=""),"",$C21*$D21*$E21*G21)</f>
        <v/>
      </c>
      <c r="P21" s="19">
        <f>IF(OR($A21="",P$4=""),"",$C21*$D21*$E21*H21)</f>
        <v/>
      </c>
      <c r="Q21" s="19">
        <f>IF(OR($A21="",Q$4=""),"",$C21*$D21*$E21*I21)</f>
        <v/>
      </c>
      <c r="R21" s="19">
        <f>IF(OR($A21="",R$4=""),"",$C21*$D21*$E21*J21)</f>
        <v/>
      </c>
      <c r="S21" s="19">
        <f>IF(OR($A21="",S$4=""),"",$C21*$D21*$E21*K21)</f>
        <v/>
      </c>
    </row>
    <row r="22">
      <c r="A22" s="16" t="inlineStr">
        <is>
          <t>ストア準備・返品（追加分）</t>
        </is>
      </c>
      <c r="B22" s="16" t="inlineStr">
        <is>
          <t>返品</t>
        </is>
      </c>
      <c r="C22" s="17" t="n">
        <v>1251</v>
      </c>
      <c r="D22" s="27" t="n">
        <v>6</v>
      </c>
      <c r="E22" s="27" t="n">
        <v>2</v>
      </c>
      <c r="F22" s="28" t="n"/>
      <c r="G22" s="28" t="n"/>
      <c r="H22" s="28" t="n"/>
      <c r="I22" s="28" t="n"/>
      <c r="J22" s="28" t="n"/>
      <c r="K22" s="28" t="n"/>
      <c r="L22" s="29">
        <f>IF($A22="","",SUMPRODUCT(($F$4:$K$4&lt;&gt;"")*$F22:$K22))</f>
        <v/>
      </c>
      <c r="M22" s="19">
        <f>IF($A22="","",SUM($N22:$S22))</f>
        <v/>
      </c>
      <c r="N22" s="19">
        <f>IF(OR($A22="",N$4=""),"",$C22*$D22*$E22*F22)</f>
        <v/>
      </c>
      <c r="O22" s="19">
        <f>IF(OR($A22="",O$4=""),"",$C22*$D22*$E22*G22)</f>
        <v/>
      </c>
      <c r="P22" s="19">
        <f>IF(OR($A22="",P$4=""),"",$C22*$D22*$E22*H22)</f>
        <v/>
      </c>
      <c r="Q22" s="19">
        <f>IF(OR($A22="",Q$4=""),"",$C22*$D22*$E22*I22)</f>
        <v/>
      </c>
      <c r="R22" s="19">
        <f>IF(OR($A22="",R$4=""),"",$C22*$D22*$E22*J22)</f>
        <v/>
      </c>
      <c r="S22" s="19">
        <f>IF(OR($A22="",S$4=""),"",$C22*$D22*$E22*K22)</f>
        <v/>
      </c>
    </row>
    <row r="23">
      <c r="A23" s="16" t="inlineStr">
        <is>
          <t>ストア準備・返品（追加分）</t>
        </is>
      </c>
      <c r="B23" s="16" t="inlineStr">
        <is>
          <t>陳列</t>
        </is>
      </c>
      <c r="C23" s="17" t="n">
        <v>1251</v>
      </c>
      <c r="D23" s="27" t="n">
        <v>6</v>
      </c>
      <c r="E23" s="27" t="n">
        <v>4</v>
      </c>
      <c r="F23" s="28" t="n"/>
      <c r="G23" s="28" t="n"/>
      <c r="H23" s="28" t="n"/>
      <c r="I23" s="28" t="n"/>
      <c r="J23" s="28" t="n"/>
      <c r="K23" s="28" t="n"/>
      <c r="L23" s="29">
        <f>IF($A23="","",SUMPRODUCT(($F$4:$K$4&lt;&gt;"")*$F23:$K23))</f>
        <v/>
      </c>
      <c r="M23" s="19">
        <f>IF($A23="","",SUM($N23:$S23))</f>
        <v/>
      </c>
      <c r="N23" s="19">
        <f>IF(OR($A23="",N$4=""),"",$C23*$D23*$E23*F23)</f>
        <v/>
      </c>
      <c r="O23" s="19">
        <f>IF(OR($A23="",O$4=""),"",$C23*$D23*$E23*G23)</f>
        <v/>
      </c>
      <c r="P23" s="19">
        <f>IF(OR($A23="",P$4=""),"",$C23*$D23*$E23*H23)</f>
        <v/>
      </c>
      <c r="Q23" s="19">
        <f>IF(OR($A23="",Q$4=""),"",$C23*$D23*$E23*I23)</f>
        <v/>
      </c>
      <c r="R23" s="19">
        <f>IF(OR($A23="",R$4=""),"",$C23*$D23*$E23*J23)</f>
        <v/>
      </c>
      <c r="S23" s="19">
        <f>IF(OR($A23="",S$4=""),"",$C23*$D23*$E23*K23)</f>
        <v/>
      </c>
    </row>
    <row r="24">
      <c r="A24" s="16" t="inlineStr">
        <is>
          <t>その他</t>
        </is>
      </c>
      <c r="B24" s="16" t="inlineStr"/>
      <c r="C24" s="17" t="n">
        <v>1251</v>
      </c>
      <c r="D24" s="27" t="n"/>
      <c r="E24" s="27" t="n"/>
      <c r="F24" s="28" t="n"/>
      <c r="G24" s="28" t="n"/>
      <c r="H24" s="28" t="n"/>
      <c r="I24" s="28" t="n"/>
      <c r="J24" s="28" t="n"/>
      <c r="K24" s="28" t="n"/>
      <c r="L24" s="29">
        <f>IF($A24="","",SUMPRODUCT(($F$4:$K$4&lt;&gt;"")*$F24:$K24))</f>
        <v/>
      </c>
      <c r="M24" s="19">
        <f>IF($A24="","",SUM($N24:$S24))</f>
        <v/>
      </c>
      <c r="N24" s="19">
        <f>IF(OR($A24="",N$4=""),"",$C24*$D24*$E24*F24)</f>
        <v/>
      </c>
      <c r="O24" s="19">
        <f>IF(OR($A24="",O$4=""),"",$C24*$D24*$E24*G24)</f>
        <v/>
      </c>
      <c r="P24" s="19">
        <f>IF(OR($A24="",P$4=""),"",$C24*$D24*$E24*H24)</f>
        <v/>
      </c>
      <c r="Q24" s="19">
        <f>IF(OR($A24="",Q$4=""),"",$C24*$D24*$E24*I24)</f>
        <v/>
      </c>
      <c r="R24" s="19">
        <f>IF(OR($A24="",R$4=""),"",$C24*$D24*$E24*J24)</f>
        <v/>
      </c>
      <c r="S24" s="19">
        <f>IF(OR($A24="",S$4=""),"",$C24*$D24*$E24*K24)</f>
        <v/>
      </c>
    </row>
    <row r="25">
      <c r="A25" s="16" t="inlineStr">
        <is>
          <t>リーダー手当</t>
        </is>
      </c>
      <c r="B25" s="16" t="inlineStr">
        <is>
          <t>手当（金額を単価欄に入れ、時間・人数・回数を1にする）</t>
        </is>
      </c>
      <c r="C25" s="17" t="n">
        <v>93000</v>
      </c>
      <c r="D25" s="27" t="n">
        <v>1</v>
      </c>
      <c r="E25" s="27" t="n">
        <v>1</v>
      </c>
      <c r="F25" s="28" t="n"/>
      <c r="G25" s="28" t="n"/>
      <c r="H25" s="28" t="n"/>
      <c r="I25" s="28" t="n"/>
      <c r="J25" s="28" t="n"/>
      <c r="K25" s="28" t="n"/>
      <c r="L25" s="29">
        <f>IF($A25="","",SUMPRODUCT(($F$4:$K$4&lt;&gt;"")*$F25:$K25))</f>
        <v/>
      </c>
      <c r="M25" s="19">
        <f>IF($A25="","",SUM($N25:$S25))</f>
        <v/>
      </c>
      <c r="N25" s="19">
        <f>IF(OR($A25="",N$4=""),"",$C25*$D25*$E25*F25)</f>
        <v/>
      </c>
      <c r="O25" s="19">
        <f>IF(OR($A25="",O$4=""),"",$C25*$D25*$E25*G25)</f>
        <v/>
      </c>
      <c r="P25" s="19">
        <f>IF(OR($A25="",P$4=""),"",$C25*$D25*$E25*H25)</f>
        <v/>
      </c>
      <c r="Q25" s="19">
        <f>IF(OR($A25="",Q$4=""),"",$C25*$D25*$E25*I25)</f>
        <v/>
      </c>
      <c r="R25" s="19">
        <f>IF(OR($A25="",R$4=""),"",$C25*$D25*$E25*J25)</f>
        <v/>
      </c>
      <c r="S25" s="19">
        <f>IF(OR($A25="",S$4=""),"",$C25*$D25*$E25*K25)</f>
        <v/>
      </c>
    </row>
    <row r="26">
      <c r="A26" s="16" t="n"/>
      <c r="B26" s="16" t="n"/>
      <c r="C26" s="17" t="n"/>
      <c r="D26" s="27" t="n"/>
      <c r="E26" s="27" t="n"/>
      <c r="F26" s="28" t="n"/>
      <c r="G26" s="28" t="n"/>
      <c r="H26" s="28" t="n"/>
      <c r="I26" s="28" t="n"/>
      <c r="J26" s="28" t="n"/>
      <c r="K26" s="28" t="n"/>
      <c r="L26" s="29">
        <f>IF($A26="","",SUMPRODUCT(($F$4:$K$4&lt;&gt;"")*$F26:$K26))</f>
        <v/>
      </c>
      <c r="M26" s="19">
        <f>IF($A26="","",SUM($N26:$S26))</f>
        <v/>
      </c>
      <c r="N26" s="19">
        <f>IF(OR($A26="",N$4=""),"",$C26*$D26*$E26*F26)</f>
        <v/>
      </c>
      <c r="O26" s="19">
        <f>IF(OR($A26="",O$4=""),"",$C26*$D26*$E26*G26)</f>
        <v/>
      </c>
      <c r="P26" s="19">
        <f>IF(OR($A26="",P$4=""),"",$C26*$D26*$E26*H26)</f>
        <v/>
      </c>
      <c r="Q26" s="19">
        <f>IF(OR($A26="",Q$4=""),"",$C26*$D26*$E26*I26)</f>
        <v/>
      </c>
      <c r="R26" s="19">
        <f>IF(OR($A26="",R$4=""),"",$C26*$D26*$E26*J26)</f>
        <v/>
      </c>
      <c r="S26" s="19">
        <f>IF(OR($A26="",S$4=""),"",$C26*$D26*$E26*K26)</f>
        <v/>
      </c>
    </row>
    <row r="27">
      <c r="A27" s="16" t="n"/>
      <c r="B27" s="16" t="n"/>
      <c r="C27" s="17" t="n"/>
      <c r="D27" s="27" t="n"/>
      <c r="E27" s="27" t="n"/>
      <c r="F27" s="28" t="n"/>
      <c r="G27" s="28" t="n"/>
      <c r="H27" s="28" t="n"/>
      <c r="I27" s="28" t="n"/>
      <c r="J27" s="28" t="n"/>
      <c r="K27" s="28" t="n"/>
      <c r="L27" s="29">
        <f>IF($A27="","",SUMPRODUCT(($F$4:$K$4&lt;&gt;"")*$F27:$K27))</f>
        <v/>
      </c>
      <c r="M27" s="19">
        <f>IF($A27="","",SUM($N27:$S27))</f>
        <v/>
      </c>
      <c r="N27" s="19">
        <f>IF(OR($A27="",N$4=""),"",$C27*$D27*$E27*F27)</f>
        <v/>
      </c>
      <c r="O27" s="19">
        <f>IF(OR($A27="",O$4=""),"",$C27*$D27*$E27*G27)</f>
        <v/>
      </c>
      <c r="P27" s="19">
        <f>IF(OR($A27="",P$4=""),"",$C27*$D27*$E27*H27)</f>
        <v/>
      </c>
      <c r="Q27" s="19">
        <f>IF(OR($A27="",Q$4=""),"",$C27*$D27*$E27*I27)</f>
        <v/>
      </c>
      <c r="R27" s="19">
        <f>IF(OR($A27="",R$4=""),"",$C27*$D27*$E27*J27)</f>
        <v/>
      </c>
      <c r="S27" s="19">
        <f>IF(OR($A27="",S$4=""),"",$C27*$D27*$E27*K27)</f>
        <v/>
      </c>
    </row>
    <row r="28">
      <c r="A28" s="16" t="n"/>
      <c r="B28" s="16" t="n"/>
      <c r="C28" s="17" t="n"/>
      <c r="D28" s="27" t="n"/>
      <c r="E28" s="27" t="n"/>
      <c r="F28" s="28" t="n"/>
      <c r="G28" s="28" t="n"/>
      <c r="H28" s="28" t="n"/>
      <c r="I28" s="28" t="n"/>
      <c r="J28" s="28" t="n"/>
      <c r="K28" s="28" t="n"/>
      <c r="L28" s="29">
        <f>IF($A28="","",SUMPRODUCT(($F$4:$K$4&lt;&gt;"")*$F28:$K28))</f>
        <v/>
      </c>
      <c r="M28" s="19">
        <f>IF($A28="","",SUM($N28:$S28))</f>
        <v/>
      </c>
      <c r="N28" s="19">
        <f>IF(OR($A28="",N$4=""),"",$C28*$D28*$E28*F28)</f>
        <v/>
      </c>
      <c r="O28" s="19">
        <f>IF(OR($A28="",O$4=""),"",$C28*$D28*$E28*G28)</f>
        <v/>
      </c>
      <c r="P28" s="19">
        <f>IF(OR($A28="",P$4=""),"",$C28*$D28*$E28*H28)</f>
        <v/>
      </c>
      <c r="Q28" s="19">
        <f>IF(OR($A28="",Q$4=""),"",$C28*$D28*$E28*I28)</f>
        <v/>
      </c>
      <c r="R28" s="19">
        <f>IF(OR($A28="",R$4=""),"",$C28*$D28*$E28*J28)</f>
        <v/>
      </c>
      <c r="S28" s="19">
        <f>IF(OR($A28="",S$4=""),"",$C28*$D28*$E28*K28)</f>
        <v/>
      </c>
    </row>
    <row r="29">
      <c r="A29" s="16" t="n"/>
      <c r="B29" s="16" t="n"/>
      <c r="C29" s="17" t="n"/>
      <c r="D29" s="27" t="n"/>
      <c r="E29" s="27" t="n"/>
      <c r="F29" s="28" t="n"/>
      <c r="G29" s="28" t="n"/>
      <c r="H29" s="28" t="n"/>
      <c r="I29" s="28" t="n"/>
      <c r="J29" s="28" t="n"/>
      <c r="K29" s="28" t="n"/>
      <c r="L29" s="29">
        <f>IF($A29="","",SUMPRODUCT(($F$4:$K$4&lt;&gt;"")*$F29:$K29))</f>
        <v/>
      </c>
      <c r="M29" s="19">
        <f>IF($A29="","",SUM($N29:$S29))</f>
        <v/>
      </c>
      <c r="N29" s="19">
        <f>IF(OR($A29="",N$4=""),"",$C29*$D29*$E29*F29)</f>
        <v/>
      </c>
      <c r="O29" s="19">
        <f>IF(OR($A29="",O$4=""),"",$C29*$D29*$E29*G29)</f>
        <v/>
      </c>
      <c r="P29" s="19">
        <f>IF(OR($A29="",P$4=""),"",$C29*$D29*$E29*H29)</f>
        <v/>
      </c>
      <c r="Q29" s="19">
        <f>IF(OR($A29="",Q$4=""),"",$C29*$D29*$E29*I29)</f>
        <v/>
      </c>
      <c r="R29" s="19">
        <f>IF(OR($A29="",R$4=""),"",$C29*$D29*$E29*J29)</f>
        <v/>
      </c>
      <c r="S29" s="19">
        <f>IF(OR($A29="",S$4=""),"",$C29*$D29*$E29*K29)</f>
        <v/>
      </c>
    </row>
    <row r="30">
      <c r="A30" s="16" t="n"/>
      <c r="B30" s="16" t="n"/>
      <c r="C30" s="17" t="n"/>
      <c r="D30" s="27" t="n"/>
      <c r="E30" s="27" t="n"/>
      <c r="F30" s="28" t="n"/>
      <c r="G30" s="28" t="n"/>
      <c r="H30" s="28" t="n"/>
      <c r="I30" s="28" t="n"/>
      <c r="J30" s="28" t="n"/>
      <c r="K30" s="28" t="n"/>
      <c r="L30" s="29">
        <f>IF($A30="","",SUMPRODUCT(($F$4:$K$4&lt;&gt;"")*$F30:$K30))</f>
        <v/>
      </c>
      <c r="M30" s="19">
        <f>IF($A30="","",SUM($N30:$S30))</f>
        <v/>
      </c>
      <c r="N30" s="19">
        <f>IF(OR($A30="",N$4=""),"",$C30*$D30*$E30*F30)</f>
        <v/>
      </c>
      <c r="O30" s="19">
        <f>IF(OR($A30="",O$4=""),"",$C30*$D30*$E30*G30)</f>
        <v/>
      </c>
      <c r="P30" s="19">
        <f>IF(OR($A30="",P$4=""),"",$C30*$D30*$E30*H30)</f>
        <v/>
      </c>
      <c r="Q30" s="19">
        <f>IF(OR($A30="",Q$4=""),"",$C30*$D30*$E30*I30)</f>
        <v/>
      </c>
      <c r="R30" s="19">
        <f>IF(OR($A30="",R$4=""),"",$C30*$D30*$E30*J30)</f>
        <v/>
      </c>
      <c r="S30" s="19">
        <f>IF(OR($A30="",S$4=""),"",$C30*$D30*$E30*K30)</f>
        <v/>
      </c>
    </row>
    <row r="31">
      <c r="A31" s="16" t="n"/>
      <c r="B31" s="16" t="n"/>
      <c r="C31" s="17" t="n"/>
      <c r="D31" s="27" t="n"/>
      <c r="E31" s="27" t="n"/>
      <c r="F31" s="28" t="n"/>
      <c r="G31" s="28" t="n"/>
      <c r="H31" s="28" t="n"/>
      <c r="I31" s="28" t="n"/>
      <c r="J31" s="28" t="n"/>
      <c r="K31" s="28" t="n"/>
      <c r="L31" s="29">
        <f>IF($A31="","",SUMPRODUCT(($F$4:$K$4&lt;&gt;"")*$F31:$K31))</f>
        <v/>
      </c>
      <c r="M31" s="19">
        <f>IF($A31="","",SUM($N31:$S31))</f>
        <v/>
      </c>
      <c r="N31" s="19">
        <f>IF(OR($A31="",N$4=""),"",$C31*$D31*$E31*F31)</f>
        <v/>
      </c>
      <c r="O31" s="19">
        <f>IF(OR($A31="",O$4=""),"",$C31*$D31*$E31*G31)</f>
        <v/>
      </c>
      <c r="P31" s="19">
        <f>IF(OR($A31="",P$4=""),"",$C31*$D31*$E31*H31)</f>
        <v/>
      </c>
      <c r="Q31" s="19">
        <f>IF(OR($A31="",Q$4=""),"",$C31*$D31*$E31*I31)</f>
        <v/>
      </c>
      <c r="R31" s="19">
        <f>IF(OR($A31="",R$4=""),"",$C31*$D31*$E31*J31)</f>
        <v/>
      </c>
      <c r="S31" s="19">
        <f>IF(OR($A31="",S$4=""),"",$C31*$D31*$E31*K31)</f>
        <v/>
      </c>
    </row>
    <row r="32">
      <c r="A32" s="16" t="n"/>
      <c r="B32" s="16" t="n"/>
      <c r="C32" s="17" t="n"/>
      <c r="D32" s="27" t="n"/>
      <c r="E32" s="27" t="n"/>
      <c r="F32" s="28" t="n"/>
      <c r="G32" s="28" t="n"/>
      <c r="H32" s="28" t="n"/>
      <c r="I32" s="28" t="n"/>
      <c r="J32" s="28" t="n"/>
      <c r="K32" s="28" t="n"/>
      <c r="L32" s="29">
        <f>IF($A32="","",SUMPRODUCT(($F$4:$K$4&lt;&gt;"")*$F32:$K32))</f>
        <v/>
      </c>
      <c r="M32" s="19">
        <f>IF($A32="","",SUM($N32:$S32))</f>
        <v/>
      </c>
      <c r="N32" s="19">
        <f>IF(OR($A32="",N$4=""),"",$C32*$D32*$E32*F32)</f>
        <v/>
      </c>
      <c r="O32" s="19">
        <f>IF(OR($A32="",O$4=""),"",$C32*$D32*$E32*G32)</f>
        <v/>
      </c>
      <c r="P32" s="19">
        <f>IF(OR($A32="",P$4=""),"",$C32*$D32*$E32*H32)</f>
        <v/>
      </c>
      <c r="Q32" s="19">
        <f>IF(OR($A32="",Q$4=""),"",$C32*$D32*$E32*I32)</f>
        <v/>
      </c>
      <c r="R32" s="19">
        <f>IF(OR($A32="",R$4=""),"",$C32*$D32*$E32*J32)</f>
        <v/>
      </c>
      <c r="S32" s="19">
        <f>IF(OR($A32="",S$4=""),"",$C32*$D32*$E32*K32)</f>
        <v/>
      </c>
    </row>
    <row r="33">
      <c r="A33" s="16" t="n"/>
      <c r="B33" s="16" t="n"/>
      <c r="C33" s="17" t="n"/>
      <c r="D33" s="27" t="n"/>
      <c r="E33" s="27" t="n"/>
      <c r="F33" s="28" t="n"/>
      <c r="G33" s="28" t="n"/>
      <c r="H33" s="28" t="n"/>
      <c r="I33" s="28" t="n"/>
      <c r="J33" s="28" t="n"/>
      <c r="K33" s="28" t="n"/>
      <c r="L33" s="29">
        <f>IF($A33="","",SUMPRODUCT(($F$4:$K$4&lt;&gt;"")*$F33:$K33))</f>
        <v/>
      </c>
      <c r="M33" s="19">
        <f>IF($A33="","",SUM($N33:$S33))</f>
        <v/>
      </c>
      <c r="N33" s="19">
        <f>IF(OR($A33="",N$4=""),"",$C33*$D33*$E33*F33)</f>
        <v/>
      </c>
      <c r="O33" s="19">
        <f>IF(OR($A33="",O$4=""),"",$C33*$D33*$E33*G33)</f>
        <v/>
      </c>
      <c r="P33" s="19">
        <f>IF(OR($A33="",P$4=""),"",$C33*$D33*$E33*H33)</f>
        <v/>
      </c>
      <c r="Q33" s="19">
        <f>IF(OR($A33="",Q$4=""),"",$C33*$D33*$E33*I33)</f>
        <v/>
      </c>
      <c r="R33" s="19">
        <f>IF(OR($A33="",R$4=""),"",$C33*$D33*$E33*J33)</f>
        <v/>
      </c>
      <c r="S33" s="19">
        <f>IF(OR($A33="",S$4=""),"",$C33*$D33*$E33*K33)</f>
        <v/>
      </c>
    </row>
    <row r="34">
      <c r="A34" s="16" t="n"/>
      <c r="B34" s="16" t="n"/>
      <c r="C34" s="17" t="n"/>
      <c r="D34" s="27" t="n"/>
      <c r="E34" s="27" t="n"/>
      <c r="F34" s="28" t="n"/>
      <c r="G34" s="28" t="n"/>
      <c r="H34" s="28" t="n"/>
      <c r="I34" s="28" t="n"/>
      <c r="J34" s="28" t="n"/>
      <c r="K34" s="28" t="n"/>
      <c r="L34" s="29">
        <f>IF($A34="","",SUMPRODUCT(($F$4:$K$4&lt;&gt;"")*$F34:$K34))</f>
        <v/>
      </c>
      <c r="M34" s="19">
        <f>IF($A34="","",SUM($N34:$S34))</f>
        <v/>
      </c>
      <c r="N34" s="19">
        <f>IF(OR($A34="",N$4=""),"",$C34*$D34*$E34*F34)</f>
        <v/>
      </c>
      <c r="O34" s="19">
        <f>IF(OR($A34="",O$4=""),"",$C34*$D34*$E34*G34)</f>
        <v/>
      </c>
      <c r="P34" s="19">
        <f>IF(OR($A34="",P$4=""),"",$C34*$D34*$E34*H34)</f>
        <v/>
      </c>
      <c r="Q34" s="19">
        <f>IF(OR($A34="",Q$4=""),"",$C34*$D34*$E34*I34)</f>
        <v/>
      </c>
      <c r="R34" s="19">
        <f>IF(OR($A34="",R$4=""),"",$C34*$D34*$E34*J34)</f>
        <v/>
      </c>
      <c r="S34" s="19">
        <f>IF(OR($A34="",S$4=""),"",$C34*$D34*$E34*K34)</f>
        <v/>
      </c>
    </row>
    <row r="35">
      <c r="A35" s="16" t="n"/>
      <c r="B35" s="16" t="n"/>
      <c r="C35" s="17" t="n"/>
      <c r="D35" s="27" t="n"/>
      <c r="E35" s="27" t="n"/>
      <c r="F35" s="28" t="n"/>
      <c r="G35" s="28" t="n"/>
      <c r="H35" s="28" t="n"/>
      <c r="I35" s="28" t="n"/>
      <c r="J35" s="28" t="n"/>
      <c r="K35" s="28" t="n"/>
      <c r="L35" s="29">
        <f>IF($A35="","",SUMPRODUCT(($F$4:$K$4&lt;&gt;"")*$F35:$K35))</f>
        <v/>
      </c>
      <c r="M35" s="19">
        <f>IF($A35="","",SUM($N35:$S35))</f>
        <v/>
      </c>
      <c r="N35" s="19">
        <f>IF(OR($A35="",N$4=""),"",$C35*$D35*$E35*F35)</f>
        <v/>
      </c>
      <c r="O35" s="19">
        <f>IF(OR($A35="",O$4=""),"",$C35*$D35*$E35*G35)</f>
        <v/>
      </c>
      <c r="P35" s="19">
        <f>IF(OR($A35="",P$4=""),"",$C35*$D35*$E35*H35)</f>
        <v/>
      </c>
      <c r="Q35" s="19">
        <f>IF(OR($A35="",Q$4=""),"",$C35*$D35*$E35*I35)</f>
        <v/>
      </c>
      <c r="R35" s="19">
        <f>IF(OR($A35="",R$4=""),"",$C35*$D35*$E35*J35)</f>
        <v/>
      </c>
      <c r="S35" s="19">
        <f>IF(OR($A35="",S$4=""),"",$C35*$D35*$E35*K35)</f>
        <v/>
      </c>
    </row>
    <row r="36">
      <c r="A36" s="16" t="n"/>
      <c r="B36" s="16" t="n"/>
      <c r="C36" s="17" t="n"/>
      <c r="D36" s="27" t="n"/>
      <c r="E36" s="27" t="n"/>
      <c r="F36" s="28" t="n"/>
      <c r="G36" s="28" t="n"/>
      <c r="H36" s="28" t="n"/>
      <c r="I36" s="28" t="n"/>
      <c r="J36" s="28" t="n"/>
      <c r="K36" s="28" t="n"/>
      <c r="L36" s="29">
        <f>IF($A36="","",SUMPRODUCT(($F$4:$K$4&lt;&gt;"")*$F36:$K36))</f>
        <v/>
      </c>
      <c r="M36" s="19">
        <f>IF($A36="","",SUM($N36:$S36))</f>
        <v/>
      </c>
      <c r="N36" s="19">
        <f>IF(OR($A36="",N$4=""),"",$C36*$D36*$E36*F36)</f>
        <v/>
      </c>
      <c r="O36" s="19">
        <f>IF(OR($A36="",O$4=""),"",$C36*$D36*$E36*G36)</f>
        <v/>
      </c>
      <c r="P36" s="19">
        <f>IF(OR($A36="",P$4=""),"",$C36*$D36*$E36*H36)</f>
        <v/>
      </c>
      <c r="Q36" s="19">
        <f>IF(OR($A36="",Q$4=""),"",$C36*$D36*$E36*I36)</f>
        <v/>
      </c>
      <c r="R36" s="19">
        <f>IF(OR($A36="",R$4=""),"",$C36*$D36*$E36*J36)</f>
        <v/>
      </c>
      <c r="S36" s="19">
        <f>IF(OR($A36="",S$4=""),"",$C36*$D36*$E36*K36)</f>
        <v/>
      </c>
    </row>
    <row r="37">
      <c r="A37" s="16" t="n"/>
      <c r="B37" s="16" t="n"/>
      <c r="C37" s="17" t="n"/>
      <c r="D37" s="27" t="n"/>
      <c r="E37" s="27" t="n"/>
      <c r="F37" s="28" t="n"/>
      <c r="G37" s="28" t="n"/>
      <c r="H37" s="28" t="n"/>
      <c r="I37" s="28" t="n"/>
      <c r="J37" s="28" t="n"/>
      <c r="K37" s="28" t="n"/>
      <c r="L37" s="29">
        <f>IF($A37="","",SUMPRODUCT(($F$4:$K$4&lt;&gt;"")*$F37:$K37))</f>
        <v/>
      </c>
      <c r="M37" s="19">
        <f>IF($A37="","",SUM($N37:$S37))</f>
        <v/>
      </c>
      <c r="N37" s="19">
        <f>IF(OR($A37="",N$4=""),"",$C37*$D37*$E37*F37)</f>
        <v/>
      </c>
      <c r="O37" s="19">
        <f>IF(OR($A37="",O$4=""),"",$C37*$D37*$E37*G37)</f>
        <v/>
      </c>
      <c r="P37" s="19">
        <f>IF(OR($A37="",P$4=""),"",$C37*$D37*$E37*H37)</f>
        <v/>
      </c>
      <c r="Q37" s="19">
        <f>IF(OR($A37="",Q$4=""),"",$C37*$D37*$E37*I37)</f>
        <v/>
      </c>
      <c r="R37" s="19">
        <f>IF(OR($A37="",R$4=""),"",$C37*$D37*$E37*J37)</f>
        <v/>
      </c>
      <c r="S37" s="19">
        <f>IF(OR($A37="",S$4=""),"",$C37*$D37*$E37*K37)</f>
        <v/>
      </c>
    </row>
    <row r="38">
      <c r="A38" s="16" t="n"/>
      <c r="B38" s="16" t="n"/>
      <c r="C38" s="17" t="n"/>
      <c r="D38" s="27" t="n"/>
      <c r="E38" s="27" t="n"/>
      <c r="F38" s="28" t="n"/>
      <c r="G38" s="28" t="n"/>
      <c r="H38" s="28" t="n"/>
      <c r="I38" s="28" t="n"/>
      <c r="J38" s="28" t="n"/>
      <c r="K38" s="28" t="n"/>
      <c r="L38" s="29">
        <f>IF($A38="","",SUMPRODUCT(($F$4:$K$4&lt;&gt;"")*$F38:$K38))</f>
        <v/>
      </c>
      <c r="M38" s="19">
        <f>IF($A38="","",SUM($N38:$S38))</f>
        <v/>
      </c>
      <c r="N38" s="19">
        <f>IF(OR($A38="",N$4=""),"",$C38*$D38*$E38*F38)</f>
        <v/>
      </c>
      <c r="O38" s="19">
        <f>IF(OR($A38="",O$4=""),"",$C38*$D38*$E38*G38)</f>
        <v/>
      </c>
      <c r="P38" s="19">
        <f>IF(OR($A38="",P$4=""),"",$C38*$D38*$E38*H38)</f>
        <v/>
      </c>
      <c r="Q38" s="19">
        <f>IF(OR($A38="",Q$4=""),"",$C38*$D38*$E38*I38)</f>
        <v/>
      </c>
      <c r="R38" s="19">
        <f>IF(OR($A38="",R$4=""),"",$C38*$D38*$E38*J38)</f>
        <v/>
      </c>
      <c r="S38" s="19">
        <f>IF(OR($A38="",S$4=""),"",$C38*$D38*$E38*K38)</f>
        <v/>
      </c>
    </row>
    <row r="39">
      <c r="A39" s="16" t="n"/>
      <c r="B39" s="16" t="n"/>
      <c r="C39" s="17" t="n"/>
      <c r="D39" s="27" t="n"/>
      <c r="E39" s="27" t="n"/>
      <c r="F39" s="28" t="n"/>
      <c r="G39" s="28" t="n"/>
      <c r="H39" s="28" t="n"/>
      <c r="I39" s="28" t="n"/>
      <c r="J39" s="28" t="n"/>
      <c r="K39" s="28" t="n"/>
      <c r="L39" s="29">
        <f>IF($A39="","",SUMPRODUCT(($F$4:$K$4&lt;&gt;"")*$F39:$K39))</f>
        <v/>
      </c>
      <c r="M39" s="19">
        <f>IF($A39="","",SUM($N39:$S39))</f>
        <v/>
      </c>
      <c r="N39" s="19">
        <f>IF(OR($A39="",N$4=""),"",$C39*$D39*$E39*F39)</f>
        <v/>
      </c>
      <c r="O39" s="19">
        <f>IF(OR($A39="",O$4=""),"",$C39*$D39*$E39*G39)</f>
        <v/>
      </c>
      <c r="P39" s="19">
        <f>IF(OR($A39="",P$4=""),"",$C39*$D39*$E39*H39)</f>
        <v/>
      </c>
      <c r="Q39" s="19">
        <f>IF(OR($A39="",Q$4=""),"",$C39*$D39*$E39*I39)</f>
        <v/>
      </c>
      <c r="R39" s="19">
        <f>IF(OR($A39="",R$4=""),"",$C39*$D39*$E39*J39)</f>
        <v/>
      </c>
      <c r="S39" s="19">
        <f>IF(OR($A39="",S$4=""),"",$C39*$D39*$E39*K39)</f>
        <v/>
      </c>
    </row>
    <row r="40">
      <c r="A40" s="16" t="n"/>
      <c r="B40" s="16" t="n"/>
      <c r="C40" s="17" t="n"/>
      <c r="D40" s="27" t="n"/>
      <c r="E40" s="27" t="n"/>
      <c r="F40" s="28" t="n"/>
      <c r="G40" s="28" t="n"/>
      <c r="H40" s="28" t="n"/>
      <c r="I40" s="28" t="n"/>
      <c r="J40" s="28" t="n"/>
      <c r="K40" s="28" t="n"/>
      <c r="L40" s="29">
        <f>IF($A40="","",SUMPRODUCT(($F$4:$K$4&lt;&gt;"")*$F40:$K40))</f>
        <v/>
      </c>
      <c r="M40" s="19">
        <f>IF($A40="","",SUM($N40:$S40))</f>
        <v/>
      </c>
      <c r="N40" s="19">
        <f>IF(OR($A40="",N$4=""),"",$C40*$D40*$E40*F40)</f>
        <v/>
      </c>
      <c r="O40" s="19">
        <f>IF(OR($A40="",O$4=""),"",$C40*$D40*$E40*G40)</f>
        <v/>
      </c>
      <c r="P40" s="19">
        <f>IF(OR($A40="",P$4=""),"",$C40*$D40*$E40*H40)</f>
        <v/>
      </c>
      <c r="Q40" s="19">
        <f>IF(OR($A40="",Q$4=""),"",$C40*$D40*$E40*I40)</f>
        <v/>
      </c>
      <c r="R40" s="19">
        <f>IF(OR($A40="",R$4=""),"",$C40*$D40*$E40*J40)</f>
        <v/>
      </c>
      <c r="S40" s="19">
        <f>IF(OR($A40="",S$4=""),"",$C40*$D40*$E40*K40)</f>
        <v/>
      </c>
    </row>
    <row r="41">
      <c r="A41" s="16" t="n"/>
      <c r="B41" s="16" t="n"/>
      <c r="C41" s="17" t="n"/>
      <c r="D41" s="27" t="n"/>
      <c r="E41" s="27" t="n"/>
      <c r="F41" s="28" t="n"/>
      <c r="G41" s="28" t="n"/>
      <c r="H41" s="28" t="n"/>
      <c r="I41" s="28" t="n"/>
      <c r="J41" s="28" t="n"/>
      <c r="K41" s="28" t="n"/>
      <c r="L41" s="29">
        <f>IF($A41="","",SUMPRODUCT(($F$4:$K$4&lt;&gt;"")*$F41:$K41))</f>
        <v/>
      </c>
      <c r="M41" s="19">
        <f>IF($A41="","",SUM($N41:$S41))</f>
        <v/>
      </c>
      <c r="N41" s="19">
        <f>IF(OR($A41="",N$4=""),"",$C41*$D41*$E41*F41)</f>
        <v/>
      </c>
      <c r="O41" s="19">
        <f>IF(OR($A41="",O$4=""),"",$C41*$D41*$E41*G41)</f>
        <v/>
      </c>
      <c r="P41" s="19">
        <f>IF(OR($A41="",P$4=""),"",$C41*$D41*$E41*H41)</f>
        <v/>
      </c>
      <c r="Q41" s="19">
        <f>IF(OR($A41="",Q$4=""),"",$C41*$D41*$E41*I41)</f>
        <v/>
      </c>
      <c r="R41" s="19">
        <f>IF(OR($A41="",R$4=""),"",$C41*$D41*$E41*J41)</f>
        <v/>
      </c>
      <c r="S41" s="19">
        <f>IF(OR($A41="",S$4=""),"",$C41*$D41*$E41*K41)</f>
        <v/>
      </c>
    </row>
    <row r="42">
      <c r="A42" s="16" t="n"/>
      <c r="B42" s="16" t="n"/>
      <c r="C42" s="17" t="n"/>
      <c r="D42" s="27" t="n"/>
      <c r="E42" s="27" t="n"/>
      <c r="F42" s="28" t="n"/>
      <c r="G42" s="28" t="n"/>
      <c r="H42" s="28" t="n"/>
      <c r="I42" s="28" t="n"/>
      <c r="J42" s="28" t="n"/>
      <c r="K42" s="28" t="n"/>
      <c r="L42" s="29">
        <f>IF($A42="","",SUMPRODUCT(($F$4:$K$4&lt;&gt;"")*$F42:$K42))</f>
        <v/>
      </c>
      <c r="M42" s="19">
        <f>IF($A42="","",SUM($N42:$S42))</f>
        <v/>
      </c>
      <c r="N42" s="19">
        <f>IF(OR($A42="",N$4=""),"",$C42*$D42*$E42*F42)</f>
        <v/>
      </c>
      <c r="O42" s="19">
        <f>IF(OR($A42="",O$4=""),"",$C42*$D42*$E42*G42)</f>
        <v/>
      </c>
      <c r="P42" s="19">
        <f>IF(OR($A42="",P$4=""),"",$C42*$D42*$E42*H42)</f>
        <v/>
      </c>
      <c r="Q42" s="19">
        <f>IF(OR($A42="",Q$4=""),"",$C42*$D42*$E42*I42)</f>
        <v/>
      </c>
      <c r="R42" s="19">
        <f>IF(OR($A42="",R$4=""),"",$C42*$D42*$E42*J42)</f>
        <v/>
      </c>
      <c r="S42" s="19">
        <f>IF(OR($A42="",S$4=""),"",$C42*$D42*$E42*K42)</f>
        <v/>
      </c>
    </row>
    <row r="43">
      <c r="A43" s="16" t="n"/>
      <c r="B43" s="16" t="n"/>
      <c r="C43" s="17" t="n"/>
      <c r="D43" s="27" t="n"/>
      <c r="E43" s="27" t="n"/>
      <c r="F43" s="28" t="n"/>
      <c r="G43" s="28" t="n"/>
      <c r="H43" s="28" t="n"/>
      <c r="I43" s="28" t="n"/>
      <c r="J43" s="28" t="n"/>
      <c r="K43" s="28" t="n"/>
      <c r="L43" s="29">
        <f>IF($A43="","",SUMPRODUCT(($F$4:$K$4&lt;&gt;"")*$F43:$K43))</f>
        <v/>
      </c>
      <c r="M43" s="19">
        <f>IF($A43="","",SUM($N43:$S43))</f>
        <v/>
      </c>
      <c r="N43" s="19">
        <f>IF(OR($A43="",N$4=""),"",$C43*$D43*$E43*F43)</f>
        <v/>
      </c>
      <c r="O43" s="19">
        <f>IF(OR($A43="",O$4=""),"",$C43*$D43*$E43*G43)</f>
        <v/>
      </c>
      <c r="P43" s="19">
        <f>IF(OR($A43="",P$4=""),"",$C43*$D43*$E43*H43)</f>
        <v/>
      </c>
      <c r="Q43" s="19">
        <f>IF(OR($A43="",Q$4=""),"",$C43*$D43*$E43*I43)</f>
        <v/>
      </c>
      <c r="R43" s="19">
        <f>IF(OR($A43="",R$4=""),"",$C43*$D43*$E43*J43)</f>
        <v/>
      </c>
      <c r="S43" s="19">
        <f>IF(OR($A43="",S$4=""),"",$C43*$D43*$E43*K43)</f>
        <v/>
      </c>
    </row>
    <row r="44">
      <c r="A44" s="16" t="n"/>
      <c r="B44" s="16" t="n"/>
      <c r="C44" s="17" t="n"/>
      <c r="D44" s="27" t="n"/>
      <c r="E44" s="27" t="n"/>
      <c r="F44" s="28" t="n"/>
      <c r="G44" s="28" t="n"/>
      <c r="H44" s="28" t="n"/>
      <c r="I44" s="28" t="n"/>
      <c r="J44" s="28" t="n"/>
      <c r="K44" s="28" t="n"/>
      <c r="L44" s="29">
        <f>IF($A44="","",SUMPRODUCT(($F$4:$K$4&lt;&gt;"")*$F44:$K44))</f>
        <v/>
      </c>
      <c r="M44" s="19">
        <f>IF($A44="","",SUM($N44:$S44))</f>
        <v/>
      </c>
      <c r="N44" s="19">
        <f>IF(OR($A44="",N$4=""),"",$C44*$D44*$E44*F44)</f>
        <v/>
      </c>
      <c r="O44" s="19">
        <f>IF(OR($A44="",O$4=""),"",$C44*$D44*$E44*G44)</f>
        <v/>
      </c>
      <c r="P44" s="19">
        <f>IF(OR($A44="",P$4=""),"",$C44*$D44*$E44*H44)</f>
        <v/>
      </c>
      <c r="Q44" s="19">
        <f>IF(OR($A44="",Q$4=""),"",$C44*$D44*$E44*I44)</f>
        <v/>
      </c>
      <c r="R44" s="19">
        <f>IF(OR($A44="",R$4=""),"",$C44*$D44*$E44*J44)</f>
        <v/>
      </c>
      <c r="S44" s="19">
        <f>IF(OR($A44="",S$4=""),"",$C44*$D44*$E44*K44)</f>
        <v/>
      </c>
    </row>
    <row r="45">
      <c r="A45" s="16" t="n"/>
      <c r="B45" s="16" t="n"/>
      <c r="C45" s="17" t="n"/>
      <c r="D45" s="27" t="n"/>
      <c r="E45" s="27" t="n"/>
      <c r="F45" s="28" t="n"/>
      <c r="G45" s="28" t="n"/>
      <c r="H45" s="28" t="n"/>
      <c r="I45" s="28" t="n"/>
      <c r="J45" s="28" t="n"/>
      <c r="K45" s="28" t="n"/>
      <c r="L45" s="29">
        <f>IF($A45="","",SUMPRODUCT(($F$4:$K$4&lt;&gt;"")*$F45:$K45))</f>
        <v/>
      </c>
      <c r="M45" s="19">
        <f>IF($A45="","",SUM($N45:$S45))</f>
        <v/>
      </c>
      <c r="N45" s="19">
        <f>IF(OR($A45="",N$4=""),"",$C45*$D45*$E45*F45)</f>
        <v/>
      </c>
      <c r="O45" s="19">
        <f>IF(OR($A45="",O$4=""),"",$C45*$D45*$E45*G45)</f>
        <v/>
      </c>
      <c r="P45" s="19">
        <f>IF(OR($A45="",P$4=""),"",$C45*$D45*$E45*H45)</f>
        <v/>
      </c>
      <c r="Q45" s="19">
        <f>IF(OR($A45="",Q$4=""),"",$C45*$D45*$E45*I45)</f>
        <v/>
      </c>
      <c r="R45" s="19">
        <f>IF(OR($A45="",R$4=""),"",$C45*$D45*$E45*J45)</f>
        <v/>
      </c>
      <c r="S45" s="19">
        <f>IF(OR($A45="",S$4=""),"",$C45*$D45*$E45*K45)</f>
        <v/>
      </c>
    </row>
    <row r="46">
      <c r="A46" s="16" t="n"/>
      <c r="B46" s="16" t="n"/>
      <c r="C46" s="17" t="n"/>
      <c r="D46" s="27" t="n"/>
      <c r="E46" s="27" t="n"/>
      <c r="F46" s="28" t="n"/>
      <c r="G46" s="28" t="n"/>
      <c r="H46" s="28" t="n"/>
      <c r="I46" s="28" t="n"/>
      <c r="J46" s="28" t="n"/>
      <c r="K46" s="28" t="n"/>
      <c r="L46" s="29">
        <f>IF($A46="","",SUMPRODUCT(($F$4:$K$4&lt;&gt;"")*$F46:$K46))</f>
        <v/>
      </c>
      <c r="M46" s="19">
        <f>IF($A46="","",SUM($N46:$S46))</f>
        <v/>
      </c>
      <c r="N46" s="19">
        <f>IF(OR($A46="",N$4=""),"",$C46*$D46*$E46*F46)</f>
        <v/>
      </c>
      <c r="O46" s="19">
        <f>IF(OR($A46="",O$4=""),"",$C46*$D46*$E46*G46)</f>
        <v/>
      </c>
      <c r="P46" s="19">
        <f>IF(OR($A46="",P$4=""),"",$C46*$D46*$E46*H46)</f>
        <v/>
      </c>
      <c r="Q46" s="19">
        <f>IF(OR($A46="",Q$4=""),"",$C46*$D46*$E46*I46)</f>
        <v/>
      </c>
      <c r="R46" s="19">
        <f>IF(OR($A46="",R$4=""),"",$C46*$D46*$E46*J46)</f>
        <v/>
      </c>
      <c r="S46" s="19">
        <f>IF(OR($A46="",S$4=""),"",$C46*$D46*$E46*K46)</f>
        <v/>
      </c>
    </row>
    <row r="47">
      <c r="A47" s="16" t="n"/>
      <c r="B47" s="16" t="n"/>
      <c r="C47" s="17" t="n"/>
      <c r="D47" s="27" t="n"/>
      <c r="E47" s="27" t="n"/>
      <c r="F47" s="28" t="n"/>
      <c r="G47" s="28" t="n"/>
      <c r="H47" s="28" t="n"/>
      <c r="I47" s="28" t="n"/>
      <c r="J47" s="28" t="n"/>
      <c r="K47" s="28" t="n"/>
      <c r="L47" s="29">
        <f>IF($A47="","",SUMPRODUCT(($F$4:$K$4&lt;&gt;"")*$F47:$K47))</f>
        <v/>
      </c>
      <c r="M47" s="19">
        <f>IF($A47="","",SUM($N47:$S47))</f>
        <v/>
      </c>
      <c r="N47" s="19">
        <f>IF(OR($A47="",N$4=""),"",$C47*$D47*$E47*F47)</f>
        <v/>
      </c>
      <c r="O47" s="19">
        <f>IF(OR($A47="",O$4=""),"",$C47*$D47*$E47*G47)</f>
        <v/>
      </c>
      <c r="P47" s="19">
        <f>IF(OR($A47="",P$4=""),"",$C47*$D47*$E47*H47)</f>
        <v/>
      </c>
      <c r="Q47" s="19">
        <f>IF(OR($A47="",Q$4=""),"",$C47*$D47*$E47*I47)</f>
        <v/>
      </c>
      <c r="R47" s="19">
        <f>IF(OR($A47="",R$4=""),"",$C47*$D47*$E47*J47)</f>
        <v/>
      </c>
      <c r="S47" s="19">
        <f>IF(OR($A47="",S$4=""),"",$C47*$D47*$E47*K47)</f>
        <v/>
      </c>
    </row>
    <row r="48">
      <c r="A48" s="16" t="n"/>
      <c r="B48" s="16" t="n"/>
      <c r="C48" s="17" t="n"/>
      <c r="D48" s="27" t="n"/>
      <c r="E48" s="27" t="n"/>
      <c r="F48" s="28" t="n"/>
      <c r="G48" s="28" t="n"/>
      <c r="H48" s="28" t="n"/>
      <c r="I48" s="28" t="n"/>
      <c r="J48" s="28" t="n"/>
      <c r="K48" s="28" t="n"/>
      <c r="L48" s="29">
        <f>IF($A48="","",SUMPRODUCT(($F$4:$K$4&lt;&gt;"")*$F48:$K48))</f>
        <v/>
      </c>
      <c r="M48" s="19">
        <f>IF($A48="","",SUM($N48:$S48))</f>
        <v/>
      </c>
      <c r="N48" s="19">
        <f>IF(OR($A48="",N$4=""),"",$C48*$D48*$E48*F48)</f>
        <v/>
      </c>
      <c r="O48" s="19">
        <f>IF(OR($A48="",O$4=""),"",$C48*$D48*$E48*G48)</f>
        <v/>
      </c>
      <c r="P48" s="19">
        <f>IF(OR($A48="",P$4=""),"",$C48*$D48*$E48*H48)</f>
        <v/>
      </c>
      <c r="Q48" s="19">
        <f>IF(OR($A48="",Q$4=""),"",$C48*$D48*$E48*I48)</f>
        <v/>
      </c>
      <c r="R48" s="19">
        <f>IF(OR($A48="",R$4=""),"",$C48*$D48*$E48*J48)</f>
        <v/>
      </c>
      <c r="S48" s="19">
        <f>IF(OR($A48="",S$4=""),"",$C48*$D48*$E48*K48)</f>
        <v/>
      </c>
    </row>
    <row r="49">
      <c r="A49" s="16" t="n"/>
      <c r="B49" s="16" t="n"/>
      <c r="C49" s="17" t="n"/>
      <c r="D49" s="27" t="n"/>
      <c r="E49" s="27" t="n"/>
      <c r="F49" s="28" t="n"/>
      <c r="G49" s="28" t="n"/>
      <c r="H49" s="28" t="n"/>
      <c r="I49" s="28" t="n"/>
      <c r="J49" s="28" t="n"/>
      <c r="K49" s="28" t="n"/>
      <c r="L49" s="29">
        <f>IF($A49="","",SUMPRODUCT(($F$4:$K$4&lt;&gt;"")*$F49:$K49))</f>
        <v/>
      </c>
      <c r="M49" s="19">
        <f>IF($A49="","",SUM($N49:$S49))</f>
        <v/>
      </c>
      <c r="N49" s="19">
        <f>IF(OR($A49="",N$4=""),"",$C49*$D49*$E49*F49)</f>
        <v/>
      </c>
      <c r="O49" s="19">
        <f>IF(OR($A49="",O$4=""),"",$C49*$D49*$E49*G49)</f>
        <v/>
      </c>
      <c r="P49" s="19">
        <f>IF(OR($A49="",P$4=""),"",$C49*$D49*$E49*H49)</f>
        <v/>
      </c>
      <c r="Q49" s="19">
        <f>IF(OR($A49="",Q$4=""),"",$C49*$D49*$E49*I49)</f>
        <v/>
      </c>
      <c r="R49" s="19">
        <f>IF(OR($A49="",R$4=""),"",$C49*$D49*$E49*J49)</f>
        <v/>
      </c>
      <c r="S49" s="19">
        <f>IF(OR($A49="",S$4=""),"",$C49*$D49*$E49*K49)</f>
        <v/>
      </c>
    </row>
    <row r="50">
      <c r="A50" s="16" t="n"/>
      <c r="B50" s="16" t="n"/>
      <c r="C50" s="17" t="n"/>
      <c r="D50" s="27" t="n"/>
      <c r="E50" s="27" t="n"/>
      <c r="F50" s="28" t="n"/>
      <c r="G50" s="28" t="n"/>
      <c r="H50" s="28" t="n"/>
      <c r="I50" s="28" t="n"/>
      <c r="J50" s="28" t="n"/>
      <c r="K50" s="28" t="n"/>
      <c r="L50" s="29">
        <f>IF($A50="","",SUMPRODUCT(($F$4:$K$4&lt;&gt;"")*$F50:$K50))</f>
        <v/>
      </c>
      <c r="M50" s="19">
        <f>IF($A50="","",SUM($N50:$S50))</f>
        <v/>
      </c>
      <c r="N50" s="19">
        <f>IF(OR($A50="",N$4=""),"",$C50*$D50*$E50*F50)</f>
        <v/>
      </c>
      <c r="O50" s="19">
        <f>IF(OR($A50="",O$4=""),"",$C50*$D50*$E50*G50)</f>
        <v/>
      </c>
      <c r="P50" s="19">
        <f>IF(OR($A50="",P$4=""),"",$C50*$D50*$E50*H50)</f>
        <v/>
      </c>
      <c r="Q50" s="19">
        <f>IF(OR($A50="",Q$4=""),"",$C50*$D50*$E50*I50)</f>
        <v/>
      </c>
      <c r="R50" s="19">
        <f>IF(OR($A50="",R$4=""),"",$C50*$D50*$E50*J50)</f>
        <v/>
      </c>
      <c r="S50" s="19">
        <f>IF(OR($A50="",S$4=""),"",$C50*$D50*$E50*K50)</f>
        <v/>
      </c>
    </row>
    <row r="51">
      <c r="A51" s="16" t="n"/>
      <c r="B51" s="16" t="n"/>
      <c r="C51" s="17" t="n"/>
      <c r="D51" s="27" t="n"/>
      <c r="E51" s="27" t="n"/>
      <c r="F51" s="28" t="n"/>
      <c r="G51" s="28" t="n"/>
      <c r="H51" s="28" t="n"/>
      <c r="I51" s="28" t="n"/>
      <c r="J51" s="28" t="n"/>
      <c r="K51" s="28" t="n"/>
      <c r="L51" s="29">
        <f>IF($A51="","",SUMPRODUCT(($F$4:$K$4&lt;&gt;"")*$F51:$K51))</f>
        <v/>
      </c>
      <c r="M51" s="19">
        <f>IF($A51="","",SUM($N51:$S51))</f>
        <v/>
      </c>
      <c r="N51" s="19">
        <f>IF(OR($A51="",N$4=""),"",$C51*$D51*$E51*F51)</f>
        <v/>
      </c>
      <c r="O51" s="19">
        <f>IF(OR($A51="",O$4=""),"",$C51*$D51*$E51*G51)</f>
        <v/>
      </c>
      <c r="P51" s="19">
        <f>IF(OR($A51="",P$4=""),"",$C51*$D51*$E51*H51)</f>
        <v/>
      </c>
      <c r="Q51" s="19">
        <f>IF(OR($A51="",Q$4=""),"",$C51*$D51*$E51*I51)</f>
        <v/>
      </c>
      <c r="R51" s="19">
        <f>IF(OR($A51="",R$4=""),"",$C51*$D51*$E51*J51)</f>
        <v/>
      </c>
      <c r="S51" s="19">
        <f>IF(OR($A51="",S$4=""),"",$C51*$D51*$E51*K51)</f>
        <v/>
      </c>
    </row>
    <row r="52">
      <c r="A52" s="16" t="n"/>
      <c r="B52" s="16" t="n"/>
      <c r="C52" s="17" t="n"/>
      <c r="D52" s="27" t="n"/>
      <c r="E52" s="27" t="n"/>
      <c r="F52" s="28" t="n"/>
      <c r="G52" s="28" t="n"/>
      <c r="H52" s="28" t="n"/>
      <c r="I52" s="28" t="n"/>
      <c r="J52" s="28" t="n"/>
      <c r="K52" s="28" t="n"/>
      <c r="L52" s="29">
        <f>IF($A52="","",SUMPRODUCT(($F$4:$K$4&lt;&gt;"")*$F52:$K52))</f>
        <v/>
      </c>
      <c r="M52" s="19">
        <f>IF($A52="","",SUM($N52:$S52))</f>
        <v/>
      </c>
      <c r="N52" s="19">
        <f>IF(OR($A52="",N$4=""),"",$C52*$D52*$E52*F52)</f>
        <v/>
      </c>
      <c r="O52" s="19">
        <f>IF(OR($A52="",O$4=""),"",$C52*$D52*$E52*G52)</f>
        <v/>
      </c>
      <c r="P52" s="19">
        <f>IF(OR($A52="",P$4=""),"",$C52*$D52*$E52*H52)</f>
        <v/>
      </c>
      <c r="Q52" s="19">
        <f>IF(OR($A52="",Q$4=""),"",$C52*$D52*$E52*I52)</f>
        <v/>
      </c>
      <c r="R52" s="19">
        <f>IF(OR($A52="",R$4=""),"",$C52*$D52*$E52*J52)</f>
        <v/>
      </c>
      <c r="S52" s="19">
        <f>IF(OR($A52="",S$4=""),"",$C52*$D52*$E52*K52)</f>
        <v/>
      </c>
    </row>
    <row r="53">
      <c r="A53" s="16" t="n"/>
      <c r="B53" s="16" t="n"/>
      <c r="C53" s="17" t="n"/>
      <c r="D53" s="27" t="n"/>
      <c r="E53" s="27" t="n"/>
      <c r="F53" s="28" t="n"/>
      <c r="G53" s="28" t="n"/>
      <c r="H53" s="28" t="n"/>
      <c r="I53" s="28" t="n"/>
      <c r="J53" s="28" t="n"/>
      <c r="K53" s="28" t="n"/>
      <c r="L53" s="29">
        <f>IF($A53="","",SUMPRODUCT(($F$4:$K$4&lt;&gt;"")*$F53:$K53))</f>
        <v/>
      </c>
      <c r="M53" s="19">
        <f>IF($A53="","",SUM($N53:$S53))</f>
        <v/>
      </c>
      <c r="N53" s="19">
        <f>IF(OR($A53="",N$4=""),"",$C53*$D53*$E53*F53)</f>
        <v/>
      </c>
      <c r="O53" s="19">
        <f>IF(OR($A53="",O$4=""),"",$C53*$D53*$E53*G53)</f>
        <v/>
      </c>
      <c r="P53" s="19">
        <f>IF(OR($A53="",P$4=""),"",$C53*$D53*$E53*H53)</f>
        <v/>
      </c>
      <c r="Q53" s="19">
        <f>IF(OR($A53="",Q$4=""),"",$C53*$D53*$E53*I53)</f>
        <v/>
      </c>
      <c r="R53" s="19">
        <f>IF(OR($A53="",R$4=""),"",$C53*$D53*$E53*J53)</f>
        <v/>
      </c>
      <c r="S53" s="19">
        <f>IF(OR($A53="",S$4=""),"",$C53*$D53*$E53*K53)</f>
        <v/>
      </c>
    </row>
    <row r="54">
      <c r="A54" s="16" t="n"/>
      <c r="B54" s="16" t="n"/>
      <c r="C54" s="17" t="n"/>
      <c r="D54" s="27" t="n"/>
      <c r="E54" s="27" t="n"/>
      <c r="F54" s="28" t="n"/>
      <c r="G54" s="28" t="n"/>
      <c r="H54" s="28" t="n"/>
      <c r="I54" s="28" t="n"/>
      <c r="J54" s="28" t="n"/>
      <c r="K54" s="28" t="n"/>
      <c r="L54" s="29">
        <f>IF($A54="","",SUMPRODUCT(($F$4:$K$4&lt;&gt;"")*$F54:$K54))</f>
        <v/>
      </c>
      <c r="M54" s="19">
        <f>IF($A54="","",SUM($N54:$S54))</f>
        <v/>
      </c>
      <c r="N54" s="19">
        <f>IF(OR($A54="",N$4=""),"",$C54*$D54*$E54*F54)</f>
        <v/>
      </c>
      <c r="O54" s="19">
        <f>IF(OR($A54="",O$4=""),"",$C54*$D54*$E54*G54)</f>
        <v/>
      </c>
      <c r="P54" s="19">
        <f>IF(OR($A54="",P$4=""),"",$C54*$D54*$E54*H54)</f>
        <v/>
      </c>
      <c r="Q54" s="19">
        <f>IF(OR($A54="",Q$4=""),"",$C54*$D54*$E54*I54)</f>
        <v/>
      </c>
      <c r="R54" s="19">
        <f>IF(OR($A54="",R$4=""),"",$C54*$D54*$E54*J54)</f>
        <v/>
      </c>
      <c r="S54" s="19">
        <f>IF(OR($A54="",S$4=""),"",$C54*$D54*$E54*K54)</f>
        <v/>
      </c>
    </row>
    <row r="55">
      <c r="A55" s="16" t="n"/>
      <c r="B55" s="16" t="n"/>
      <c r="C55" s="17" t="n"/>
      <c r="D55" s="27" t="n"/>
      <c r="E55" s="27" t="n"/>
      <c r="F55" s="28" t="n"/>
      <c r="G55" s="28" t="n"/>
      <c r="H55" s="28" t="n"/>
      <c r="I55" s="28" t="n"/>
      <c r="J55" s="28" t="n"/>
      <c r="K55" s="28" t="n"/>
      <c r="L55" s="29">
        <f>IF($A55="","",SUMPRODUCT(($F$4:$K$4&lt;&gt;"")*$F55:$K55))</f>
        <v/>
      </c>
      <c r="M55" s="19">
        <f>IF($A55="","",SUM($N55:$S55))</f>
        <v/>
      </c>
      <c r="N55" s="19">
        <f>IF(OR($A55="",N$4=""),"",$C55*$D55*$E55*F55)</f>
        <v/>
      </c>
      <c r="O55" s="19">
        <f>IF(OR($A55="",O$4=""),"",$C55*$D55*$E55*G55)</f>
        <v/>
      </c>
      <c r="P55" s="19">
        <f>IF(OR($A55="",P$4=""),"",$C55*$D55*$E55*H55)</f>
        <v/>
      </c>
      <c r="Q55" s="19">
        <f>IF(OR($A55="",Q$4=""),"",$C55*$D55*$E55*I55)</f>
        <v/>
      </c>
      <c r="R55" s="19">
        <f>IF(OR($A55="",R$4=""),"",$C55*$D55*$E55*J55)</f>
        <v/>
      </c>
      <c r="S55" s="19">
        <f>IF(OR($A55="",S$4=""),"",$C55*$D55*$E55*K55)</f>
        <v/>
      </c>
    </row>
    <row r="56">
      <c r="A56" s="16" t="n"/>
      <c r="B56" s="16" t="n"/>
      <c r="C56" s="17" t="n"/>
      <c r="D56" s="27" t="n"/>
      <c r="E56" s="27" t="n"/>
      <c r="F56" s="28" t="n"/>
      <c r="G56" s="28" t="n"/>
      <c r="H56" s="28" t="n"/>
      <c r="I56" s="28" t="n"/>
      <c r="J56" s="28" t="n"/>
      <c r="K56" s="28" t="n"/>
      <c r="L56" s="29">
        <f>IF($A56="","",SUMPRODUCT(($F$4:$K$4&lt;&gt;"")*$F56:$K56))</f>
        <v/>
      </c>
      <c r="M56" s="19">
        <f>IF($A56="","",SUM($N56:$S56))</f>
        <v/>
      </c>
      <c r="N56" s="19">
        <f>IF(OR($A56="",N$4=""),"",$C56*$D56*$E56*F56)</f>
        <v/>
      </c>
      <c r="O56" s="19">
        <f>IF(OR($A56="",O$4=""),"",$C56*$D56*$E56*G56)</f>
        <v/>
      </c>
      <c r="P56" s="19">
        <f>IF(OR($A56="",P$4=""),"",$C56*$D56*$E56*H56)</f>
        <v/>
      </c>
      <c r="Q56" s="19">
        <f>IF(OR($A56="",Q$4=""),"",$C56*$D56*$E56*I56)</f>
        <v/>
      </c>
      <c r="R56" s="19">
        <f>IF(OR($A56="",R$4=""),"",$C56*$D56*$E56*J56)</f>
        <v/>
      </c>
      <c r="S56" s="19">
        <f>IF(OR($A56="",S$4=""),"",$C56*$D56*$E56*K56)</f>
        <v/>
      </c>
    </row>
    <row r="57">
      <c r="A57" s="16" t="n"/>
      <c r="B57" s="16" t="n"/>
      <c r="C57" s="17" t="n"/>
      <c r="D57" s="27" t="n"/>
      <c r="E57" s="27" t="n"/>
      <c r="F57" s="28" t="n"/>
      <c r="G57" s="28" t="n"/>
      <c r="H57" s="28" t="n"/>
      <c r="I57" s="28" t="n"/>
      <c r="J57" s="28" t="n"/>
      <c r="K57" s="28" t="n"/>
      <c r="L57" s="29">
        <f>IF($A57="","",SUMPRODUCT(($F$4:$K$4&lt;&gt;"")*$F57:$K57))</f>
        <v/>
      </c>
      <c r="M57" s="19">
        <f>IF($A57="","",SUM($N57:$S57))</f>
        <v/>
      </c>
      <c r="N57" s="19">
        <f>IF(OR($A57="",N$4=""),"",$C57*$D57*$E57*F57)</f>
        <v/>
      </c>
      <c r="O57" s="19">
        <f>IF(OR($A57="",O$4=""),"",$C57*$D57*$E57*G57)</f>
        <v/>
      </c>
      <c r="P57" s="19">
        <f>IF(OR($A57="",P$4=""),"",$C57*$D57*$E57*H57)</f>
        <v/>
      </c>
      <c r="Q57" s="19">
        <f>IF(OR($A57="",Q$4=""),"",$C57*$D57*$E57*I57)</f>
        <v/>
      </c>
      <c r="R57" s="19">
        <f>IF(OR($A57="",R$4=""),"",$C57*$D57*$E57*J57)</f>
        <v/>
      </c>
      <c r="S57" s="19">
        <f>IF(OR($A57="",S$4=""),"",$C57*$D57*$E57*K57)</f>
        <v/>
      </c>
    </row>
    <row r="58">
      <c r="A58" s="16" t="n"/>
      <c r="B58" s="16" t="n"/>
      <c r="C58" s="17" t="n"/>
      <c r="D58" s="27" t="n"/>
      <c r="E58" s="27" t="n"/>
      <c r="F58" s="28" t="n"/>
      <c r="G58" s="28" t="n"/>
      <c r="H58" s="28" t="n"/>
      <c r="I58" s="28" t="n"/>
      <c r="J58" s="28" t="n"/>
      <c r="K58" s="28" t="n"/>
      <c r="L58" s="29">
        <f>IF($A58="","",SUMPRODUCT(($F$4:$K$4&lt;&gt;"")*$F58:$K58))</f>
        <v/>
      </c>
      <c r="M58" s="19">
        <f>IF($A58="","",SUM($N58:$S58))</f>
        <v/>
      </c>
      <c r="N58" s="19">
        <f>IF(OR($A58="",N$4=""),"",$C58*$D58*$E58*F58)</f>
        <v/>
      </c>
      <c r="O58" s="19">
        <f>IF(OR($A58="",O$4=""),"",$C58*$D58*$E58*G58)</f>
        <v/>
      </c>
      <c r="P58" s="19">
        <f>IF(OR($A58="",P$4=""),"",$C58*$D58*$E58*H58)</f>
        <v/>
      </c>
      <c r="Q58" s="19">
        <f>IF(OR($A58="",Q$4=""),"",$C58*$D58*$E58*I58)</f>
        <v/>
      </c>
      <c r="R58" s="19">
        <f>IF(OR($A58="",R$4=""),"",$C58*$D58*$E58*J58)</f>
        <v/>
      </c>
      <c r="S58" s="19">
        <f>IF(OR($A58="",S$4=""),"",$C58*$D58*$E58*K58)</f>
        <v/>
      </c>
    </row>
    <row r="59">
      <c r="A59" s="16" t="n"/>
      <c r="B59" s="16" t="n"/>
      <c r="C59" s="17" t="n"/>
      <c r="D59" s="27" t="n"/>
      <c r="E59" s="27" t="n"/>
      <c r="F59" s="28" t="n"/>
      <c r="G59" s="28" t="n"/>
      <c r="H59" s="28" t="n"/>
      <c r="I59" s="28" t="n"/>
      <c r="J59" s="28" t="n"/>
      <c r="K59" s="28" t="n"/>
      <c r="L59" s="29">
        <f>IF($A59="","",SUMPRODUCT(($F$4:$K$4&lt;&gt;"")*$F59:$K59))</f>
        <v/>
      </c>
      <c r="M59" s="19">
        <f>IF($A59="","",SUM($N59:$S59))</f>
        <v/>
      </c>
      <c r="N59" s="19">
        <f>IF(OR($A59="",N$4=""),"",$C59*$D59*$E59*F59)</f>
        <v/>
      </c>
      <c r="O59" s="19">
        <f>IF(OR($A59="",O$4=""),"",$C59*$D59*$E59*G59)</f>
        <v/>
      </c>
      <c r="P59" s="19">
        <f>IF(OR($A59="",P$4=""),"",$C59*$D59*$E59*H59)</f>
        <v/>
      </c>
      <c r="Q59" s="19">
        <f>IF(OR($A59="",Q$4=""),"",$C59*$D59*$E59*I59)</f>
        <v/>
      </c>
      <c r="R59" s="19">
        <f>IF(OR($A59="",R$4=""),"",$C59*$D59*$E59*J59)</f>
        <v/>
      </c>
      <c r="S59" s="19">
        <f>IF(OR($A59="",S$4=""),"",$C59*$D59*$E59*K59)</f>
        <v/>
      </c>
    </row>
    <row r="60">
      <c r="A60" s="16" t="n"/>
      <c r="B60" s="16" t="n"/>
      <c r="C60" s="17" t="n"/>
      <c r="D60" s="27" t="n"/>
      <c r="E60" s="27" t="n"/>
      <c r="F60" s="28" t="n"/>
      <c r="G60" s="28" t="n"/>
      <c r="H60" s="28" t="n"/>
      <c r="I60" s="28" t="n"/>
      <c r="J60" s="28" t="n"/>
      <c r="K60" s="28" t="n"/>
      <c r="L60" s="29">
        <f>IF($A60="","",SUMPRODUCT(($F$4:$K$4&lt;&gt;"")*$F60:$K60))</f>
        <v/>
      </c>
      <c r="M60" s="19">
        <f>IF($A60="","",SUM($N60:$S60))</f>
        <v/>
      </c>
      <c r="N60" s="19">
        <f>IF(OR($A60="",N$4=""),"",$C60*$D60*$E60*F60)</f>
        <v/>
      </c>
      <c r="O60" s="19">
        <f>IF(OR($A60="",O$4=""),"",$C60*$D60*$E60*G60)</f>
        <v/>
      </c>
      <c r="P60" s="19">
        <f>IF(OR($A60="",P$4=""),"",$C60*$D60*$E60*H60)</f>
        <v/>
      </c>
      <c r="Q60" s="19">
        <f>IF(OR($A60="",Q$4=""),"",$C60*$D60*$E60*I60)</f>
        <v/>
      </c>
      <c r="R60" s="19">
        <f>IF(OR($A60="",R$4=""),"",$C60*$D60*$E60*J60)</f>
        <v/>
      </c>
      <c r="S60" s="19">
        <f>IF(OR($A60="",S$4=""),"",$C60*$D60*$E60*K60)</f>
        <v/>
      </c>
    </row>
    <row r="61">
      <c r="A61" s="16" t="n"/>
      <c r="B61" s="16" t="n"/>
      <c r="C61" s="17" t="n"/>
      <c r="D61" s="27" t="n"/>
      <c r="E61" s="27" t="n"/>
      <c r="F61" s="28" t="n"/>
      <c r="G61" s="28" t="n"/>
      <c r="H61" s="28" t="n"/>
      <c r="I61" s="28" t="n"/>
      <c r="J61" s="28" t="n"/>
      <c r="K61" s="28" t="n"/>
      <c r="L61" s="29">
        <f>IF($A61="","",SUMPRODUCT(($F$4:$K$4&lt;&gt;"")*$F61:$K61))</f>
        <v/>
      </c>
      <c r="M61" s="19">
        <f>IF($A61="","",SUM($N61:$S61))</f>
        <v/>
      </c>
      <c r="N61" s="19">
        <f>IF(OR($A61="",N$4=""),"",$C61*$D61*$E61*F61)</f>
        <v/>
      </c>
      <c r="O61" s="19">
        <f>IF(OR($A61="",O$4=""),"",$C61*$D61*$E61*G61)</f>
        <v/>
      </c>
      <c r="P61" s="19">
        <f>IF(OR($A61="",P$4=""),"",$C61*$D61*$E61*H61)</f>
        <v/>
      </c>
      <c r="Q61" s="19">
        <f>IF(OR($A61="",Q$4=""),"",$C61*$D61*$E61*I61)</f>
        <v/>
      </c>
      <c r="R61" s="19">
        <f>IF(OR($A61="",R$4=""),"",$C61*$D61*$E61*J61)</f>
        <v/>
      </c>
      <c r="S61" s="19">
        <f>IF(OR($A61="",S$4=""),"",$C61*$D61*$E61*K61)</f>
        <v/>
      </c>
    </row>
    <row r="62">
      <c r="A62" s="16" t="n"/>
      <c r="B62" s="16" t="n"/>
      <c r="C62" s="17" t="n"/>
      <c r="D62" s="27" t="n"/>
      <c r="E62" s="27" t="n"/>
      <c r="F62" s="28" t="n"/>
      <c r="G62" s="28" t="n"/>
      <c r="H62" s="28" t="n"/>
      <c r="I62" s="28" t="n"/>
      <c r="J62" s="28" t="n"/>
      <c r="K62" s="28" t="n"/>
      <c r="L62" s="29">
        <f>IF($A62="","",SUMPRODUCT(($F$4:$K$4&lt;&gt;"")*$F62:$K62))</f>
        <v/>
      </c>
      <c r="M62" s="19">
        <f>IF($A62="","",SUM($N62:$S62))</f>
        <v/>
      </c>
      <c r="N62" s="19">
        <f>IF(OR($A62="",N$4=""),"",$C62*$D62*$E62*F62)</f>
        <v/>
      </c>
      <c r="O62" s="19">
        <f>IF(OR($A62="",O$4=""),"",$C62*$D62*$E62*G62)</f>
        <v/>
      </c>
      <c r="P62" s="19">
        <f>IF(OR($A62="",P$4=""),"",$C62*$D62*$E62*H62)</f>
        <v/>
      </c>
      <c r="Q62" s="19">
        <f>IF(OR($A62="",Q$4=""),"",$C62*$D62*$E62*I62)</f>
        <v/>
      </c>
      <c r="R62" s="19">
        <f>IF(OR($A62="",R$4=""),"",$C62*$D62*$E62*J62)</f>
        <v/>
      </c>
      <c r="S62" s="19">
        <f>IF(OR($A62="",S$4=""),"",$C62*$D62*$E62*K62)</f>
        <v/>
      </c>
    </row>
    <row r="63">
      <c r="A63" s="16" t="n"/>
      <c r="B63" s="16" t="n"/>
      <c r="C63" s="17" t="n"/>
      <c r="D63" s="27" t="n"/>
      <c r="E63" s="27" t="n"/>
      <c r="F63" s="28" t="n"/>
      <c r="G63" s="28" t="n"/>
      <c r="H63" s="28" t="n"/>
      <c r="I63" s="28" t="n"/>
      <c r="J63" s="28" t="n"/>
      <c r="K63" s="28" t="n"/>
      <c r="L63" s="29">
        <f>IF($A63="","",SUMPRODUCT(($F$4:$K$4&lt;&gt;"")*$F63:$K63))</f>
        <v/>
      </c>
      <c r="M63" s="19">
        <f>IF($A63="","",SUM($N63:$S63))</f>
        <v/>
      </c>
      <c r="N63" s="19">
        <f>IF(OR($A63="",N$4=""),"",$C63*$D63*$E63*F63)</f>
        <v/>
      </c>
      <c r="O63" s="19">
        <f>IF(OR($A63="",O$4=""),"",$C63*$D63*$E63*G63)</f>
        <v/>
      </c>
      <c r="P63" s="19">
        <f>IF(OR($A63="",P$4=""),"",$C63*$D63*$E63*H63)</f>
        <v/>
      </c>
      <c r="Q63" s="19">
        <f>IF(OR($A63="",Q$4=""),"",$C63*$D63*$E63*I63)</f>
        <v/>
      </c>
      <c r="R63" s="19">
        <f>IF(OR($A63="",R$4=""),"",$C63*$D63*$E63*J63)</f>
        <v/>
      </c>
      <c r="S63" s="19">
        <f>IF(OR($A63="",S$4=""),"",$C63*$D63*$E63*K63)</f>
        <v/>
      </c>
    </row>
    <row r="64">
      <c r="A64" s="16" t="n"/>
      <c r="B64" s="16" t="n"/>
      <c r="C64" s="17" t="n"/>
      <c r="D64" s="27" t="n"/>
      <c r="E64" s="27" t="n"/>
      <c r="F64" s="28" t="n"/>
      <c r="G64" s="28" t="n"/>
      <c r="H64" s="28" t="n"/>
      <c r="I64" s="28" t="n"/>
      <c r="J64" s="28" t="n"/>
      <c r="K64" s="28" t="n"/>
      <c r="L64" s="29">
        <f>IF($A64="","",SUMPRODUCT(($F$4:$K$4&lt;&gt;"")*$F64:$K64))</f>
        <v/>
      </c>
      <c r="M64" s="19">
        <f>IF($A64="","",SUM($N64:$S64))</f>
        <v/>
      </c>
      <c r="N64" s="19">
        <f>IF(OR($A64="",N$4=""),"",$C64*$D64*$E64*F64)</f>
        <v/>
      </c>
      <c r="O64" s="19">
        <f>IF(OR($A64="",O$4=""),"",$C64*$D64*$E64*G64)</f>
        <v/>
      </c>
      <c r="P64" s="19">
        <f>IF(OR($A64="",P$4=""),"",$C64*$D64*$E64*H64)</f>
        <v/>
      </c>
      <c r="Q64" s="19">
        <f>IF(OR($A64="",Q$4=""),"",$C64*$D64*$E64*I64)</f>
        <v/>
      </c>
      <c r="R64" s="19">
        <f>IF(OR($A64="",R$4=""),"",$C64*$D64*$E64*J64)</f>
        <v/>
      </c>
      <c r="S64" s="19">
        <f>IF(OR($A64="",S$4=""),"",$C64*$D64*$E64*K64)</f>
        <v/>
      </c>
    </row>
    <row r="65">
      <c r="A65" s="16" t="n"/>
      <c r="B65" s="16" t="n"/>
      <c r="C65" s="17" t="n"/>
      <c r="D65" s="27" t="n"/>
      <c r="E65" s="27" t="n"/>
      <c r="F65" s="28" t="n"/>
      <c r="G65" s="28" t="n"/>
      <c r="H65" s="28" t="n"/>
      <c r="I65" s="28" t="n"/>
      <c r="J65" s="28" t="n"/>
      <c r="K65" s="28" t="n"/>
      <c r="L65" s="29">
        <f>IF($A65="","",SUMPRODUCT(($F$4:$K$4&lt;&gt;"")*$F65:$K65))</f>
        <v/>
      </c>
      <c r="M65" s="19">
        <f>IF($A65="","",SUM($N65:$S65))</f>
        <v/>
      </c>
      <c r="N65" s="19">
        <f>IF(OR($A65="",N$4=""),"",$C65*$D65*$E65*F65)</f>
        <v/>
      </c>
      <c r="O65" s="19">
        <f>IF(OR($A65="",O$4=""),"",$C65*$D65*$E65*G65)</f>
        <v/>
      </c>
      <c r="P65" s="19">
        <f>IF(OR($A65="",P$4=""),"",$C65*$D65*$E65*H65)</f>
        <v/>
      </c>
      <c r="Q65" s="19">
        <f>IF(OR($A65="",Q$4=""),"",$C65*$D65*$E65*I65)</f>
        <v/>
      </c>
      <c r="R65" s="19">
        <f>IF(OR($A65="",R$4=""),"",$C65*$D65*$E65*J65)</f>
        <v/>
      </c>
      <c r="S65" s="19">
        <f>IF(OR($A65="",S$4=""),"",$C65*$D65*$E65*K65)</f>
        <v/>
      </c>
    </row>
    <row r="66">
      <c r="A66" s="16" t="n"/>
      <c r="B66" s="16" t="n"/>
      <c r="C66" s="17" t="n"/>
      <c r="D66" s="27" t="n"/>
      <c r="E66" s="27" t="n"/>
      <c r="F66" s="28" t="n"/>
      <c r="G66" s="28" t="n"/>
      <c r="H66" s="28" t="n"/>
      <c r="I66" s="28" t="n"/>
      <c r="J66" s="28" t="n"/>
      <c r="K66" s="28" t="n"/>
      <c r="L66" s="29">
        <f>IF($A66="","",SUMPRODUCT(($F$4:$K$4&lt;&gt;"")*$F66:$K66))</f>
        <v/>
      </c>
      <c r="M66" s="19">
        <f>IF($A66="","",SUM($N66:$S66))</f>
        <v/>
      </c>
      <c r="N66" s="19">
        <f>IF(OR($A66="",N$4=""),"",$C66*$D66*$E66*F66)</f>
        <v/>
      </c>
      <c r="O66" s="19">
        <f>IF(OR($A66="",O$4=""),"",$C66*$D66*$E66*G66)</f>
        <v/>
      </c>
      <c r="P66" s="19">
        <f>IF(OR($A66="",P$4=""),"",$C66*$D66*$E66*H66)</f>
        <v/>
      </c>
      <c r="Q66" s="19">
        <f>IF(OR($A66="",Q$4=""),"",$C66*$D66*$E66*I66)</f>
        <v/>
      </c>
      <c r="R66" s="19">
        <f>IF(OR($A66="",R$4=""),"",$C66*$D66*$E66*J66)</f>
        <v/>
      </c>
      <c r="S66" s="19">
        <f>IF(OR($A66="",S$4=""),"",$C66*$D66*$E66*K66)</f>
        <v/>
      </c>
    </row>
    <row r="67">
      <c r="A67" s="16" t="n"/>
      <c r="B67" s="16" t="n"/>
      <c r="C67" s="17" t="n"/>
      <c r="D67" s="27" t="n"/>
      <c r="E67" s="27" t="n"/>
      <c r="F67" s="28" t="n"/>
      <c r="G67" s="28" t="n"/>
      <c r="H67" s="28" t="n"/>
      <c r="I67" s="28" t="n"/>
      <c r="J67" s="28" t="n"/>
      <c r="K67" s="28" t="n"/>
      <c r="L67" s="29">
        <f>IF($A67="","",SUMPRODUCT(($F$4:$K$4&lt;&gt;"")*$F67:$K67))</f>
        <v/>
      </c>
      <c r="M67" s="19">
        <f>IF($A67="","",SUM($N67:$S67))</f>
        <v/>
      </c>
      <c r="N67" s="19">
        <f>IF(OR($A67="",N$4=""),"",$C67*$D67*$E67*F67)</f>
        <v/>
      </c>
      <c r="O67" s="19">
        <f>IF(OR($A67="",O$4=""),"",$C67*$D67*$E67*G67)</f>
        <v/>
      </c>
      <c r="P67" s="19">
        <f>IF(OR($A67="",P$4=""),"",$C67*$D67*$E67*H67)</f>
        <v/>
      </c>
      <c r="Q67" s="19">
        <f>IF(OR($A67="",Q$4=""),"",$C67*$D67*$E67*I67)</f>
        <v/>
      </c>
      <c r="R67" s="19">
        <f>IF(OR($A67="",R$4=""),"",$C67*$D67*$E67*J67)</f>
        <v/>
      </c>
      <c r="S67" s="19">
        <f>IF(OR($A67="",S$4=""),"",$C67*$D67*$E67*K67)</f>
        <v/>
      </c>
    </row>
    <row r="68">
      <c r="A68" s="16" t="n"/>
      <c r="B68" s="16" t="n"/>
      <c r="C68" s="17" t="n"/>
      <c r="D68" s="27" t="n"/>
      <c r="E68" s="27" t="n"/>
      <c r="F68" s="28" t="n"/>
      <c r="G68" s="28" t="n"/>
      <c r="H68" s="28" t="n"/>
      <c r="I68" s="28" t="n"/>
      <c r="J68" s="28" t="n"/>
      <c r="K68" s="28" t="n"/>
      <c r="L68" s="29">
        <f>IF($A68="","",SUMPRODUCT(($F$4:$K$4&lt;&gt;"")*$F68:$K68))</f>
        <v/>
      </c>
      <c r="M68" s="19">
        <f>IF($A68="","",SUM($N68:$S68))</f>
        <v/>
      </c>
      <c r="N68" s="19">
        <f>IF(OR($A68="",N$4=""),"",$C68*$D68*$E68*F68)</f>
        <v/>
      </c>
      <c r="O68" s="19">
        <f>IF(OR($A68="",O$4=""),"",$C68*$D68*$E68*G68)</f>
        <v/>
      </c>
      <c r="P68" s="19">
        <f>IF(OR($A68="",P$4=""),"",$C68*$D68*$E68*H68)</f>
        <v/>
      </c>
      <c r="Q68" s="19">
        <f>IF(OR($A68="",Q$4=""),"",$C68*$D68*$E68*I68)</f>
        <v/>
      </c>
      <c r="R68" s="19">
        <f>IF(OR($A68="",R$4=""),"",$C68*$D68*$E68*J68)</f>
        <v/>
      </c>
      <c r="S68" s="19">
        <f>IF(OR($A68="",S$4=""),"",$C68*$D68*$E68*K68)</f>
        <v/>
      </c>
    </row>
    <row r="69">
      <c r="A69" s="16" t="n"/>
      <c r="B69" s="16" t="n"/>
      <c r="C69" s="17" t="n"/>
      <c r="D69" s="27" t="n"/>
      <c r="E69" s="27" t="n"/>
      <c r="F69" s="28" t="n"/>
      <c r="G69" s="28" t="n"/>
      <c r="H69" s="28" t="n"/>
      <c r="I69" s="28" t="n"/>
      <c r="J69" s="28" t="n"/>
      <c r="K69" s="28" t="n"/>
      <c r="L69" s="29">
        <f>IF($A69="","",SUMPRODUCT(($F$4:$K$4&lt;&gt;"")*$F69:$K69))</f>
        <v/>
      </c>
      <c r="M69" s="19">
        <f>IF($A69="","",SUM($N69:$S69))</f>
        <v/>
      </c>
      <c r="N69" s="19">
        <f>IF(OR($A69="",N$4=""),"",$C69*$D69*$E69*F69)</f>
        <v/>
      </c>
      <c r="O69" s="19">
        <f>IF(OR($A69="",O$4=""),"",$C69*$D69*$E69*G69)</f>
        <v/>
      </c>
      <c r="P69" s="19">
        <f>IF(OR($A69="",P$4=""),"",$C69*$D69*$E69*H69)</f>
        <v/>
      </c>
      <c r="Q69" s="19">
        <f>IF(OR($A69="",Q$4=""),"",$C69*$D69*$E69*I69)</f>
        <v/>
      </c>
      <c r="R69" s="19">
        <f>IF(OR($A69="",R$4=""),"",$C69*$D69*$E69*J69)</f>
        <v/>
      </c>
      <c r="S69" s="19">
        <f>IF(OR($A69="",S$4=""),"",$C69*$D69*$E69*K69)</f>
        <v/>
      </c>
    </row>
    <row r="70">
      <c r="A70" s="16" t="n"/>
      <c r="B70" s="16" t="n"/>
      <c r="C70" s="17" t="n"/>
      <c r="D70" s="27" t="n"/>
      <c r="E70" s="27" t="n"/>
      <c r="F70" s="28" t="n"/>
      <c r="G70" s="28" t="n"/>
      <c r="H70" s="28" t="n"/>
      <c r="I70" s="28" t="n"/>
      <c r="J70" s="28" t="n"/>
      <c r="K70" s="28" t="n"/>
      <c r="L70" s="29">
        <f>IF($A70="","",SUMPRODUCT(($F$4:$K$4&lt;&gt;"")*$F70:$K70))</f>
        <v/>
      </c>
      <c r="M70" s="19">
        <f>IF($A70="","",SUM($N70:$S70))</f>
        <v/>
      </c>
      <c r="N70" s="19">
        <f>IF(OR($A70="",N$4=""),"",$C70*$D70*$E70*F70)</f>
        <v/>
      </c>
      <c r="O70" s="19">
        <f>IF(OR($A70="",O$4=""),"",$C70*$D70*$E70*G70)</f>
        <v/>
      </c>
      <c r="P70" s="19">
        <f>IF(OR($A70="",P$4=""),"",$C70*$D70*$E70*H70)</f>
        <v/>
      </c>
      <c r="Q70" s="19">
        <f>IF(OR($A70="",Q$4=""),"",$C70*$D70*$E70*I70)</f>
        <v/>
      </c>
      <c r="R70" s="19">
        <f>IF(OR($A70="",R$4=""),"",$C70*$D70*$E70*J70)</f>
        <v/>
      </c>
      <c r="S70" s="19">
        <f>IF(OR($A70="",S$4=""),"",$C70*$D70*$E70*K70)</f>
        <v/>
      </c>
    </row>
    <row r="71">
      <c r="A71" s="16" t="n"/>
      <c r="B71" s="16" t="n"/>
      <c r="C71" s="17" t="n"/>
      <c r="D71" s="27" t="n"/>
      <c r="E71" s="27" t="n"/>
      <c r="F71" s="28" t="n"/>
      <c r="G71" s="28" t="n"/>
      <c r="H71" s="28" t="n"/>
      <c r="I71" s="28" t="n"/>
      <c r="J71" s="28" t="n"/>
      <c r="K71" s="28" t="n"/>
      <c r="L71" s="29">
        <f>IF($A71="","",SUMPRODUCT(($F$4:$K$4&lt;&gt;"")*$F71:$K71))</f>
        <v/>
      </c>
      <c r="M71" s="19">
        <f>IF($A71="","",SUM($N71:$S71))</f>
        <v/>
      </c>
      <c r="N71" s="19">
        <f>IF(OR($A71="",N$4=""),"",$C71*$D71*$E71*F71)</f>
        <v/>
      </c>
      <c r="O71" s="19">
        <f>IF(OR($A71="",O$4=""),"",$C71*$D71*$E71*G71)</f>
        <v/>
      </c>
      <c r="P71" s="19">
        <f>IF(OR($A71="",P$4=""),"",$C71*$D71*$E71*H71)</f>
        <v/>
      </c>
      <c r="Q71" s="19">
        <f>IF(OR($A71="",Q$4=""),"",$C71*$D71*$E71*I71)</f>
        <v/>
      </c>
      <c r="R71" s="19">
        <f>IF(OR($A71="",R$4=""),"",$C71*$D71*$E71*J71)</f>
        <v/>
      </c>
      <c r="S71" s="19">
        <f>IF(OR($A71="",S$4=""),"",$C71*$D71*$E71*K71)</f>
        <v/>
      </c>
    </row>
    <row r="72">
      <c r="A72" s="16" t="n"/>
      <c r="B72" s="16" t="n"/>
      <c r="C72" s="17" t="n"/>
      <c r="D72" s="27" t="n"/>
      <c r="E72" s="27" t="n"/>
      <c r="F72" s="28" t="n"/>
      <c r="G72" s="28" t="n"/>
      <c r="H72" s="28" t="n"/>
      <c r="I72" s="28" t="n"/>
      <c r="J72" s="28" t="n"/>
      <c r="K72" s="28" t="n"/>
      <c r="L72" s="29">
        <f>IF($A72="","",SUMPRODUCT(($F$4:$K$4&lt;&gt;"")*$F72:$K72))</f>
        <v/>
      </c>
      <c r="M72" s="19">
        <f>IF($A72="","",SUM($N72:$S72))</f>
        <v/>
      </c>
      <c r="N72" s="19">
        <f>IF(OR($A72="",N$4=""),"",$C72*$D72*$E72*F72)</f>
        <v/>
      </c>
      <c r="O72" s="19">
        <f>IF(OR($A72="",O$4=""),"",$C72*$D72*$E72*G72)</f>
        <v/>
      </c>
      <c r="P72" s="19">
        <f>IF(OR($A72="",P$4=""),"",$C72*$D72*$E72*H72)</f>
        <v/>
      </c>
      <c r="Q72" s="19">
        <f>IF(OR($A72="",Q$4=""),"",$C72*$D72*$E72*I72)</f>
        <v/>
      </c>
      <c r="R72" s="19">
        <f>IF(OR($A72="",R$4=""),"",$C72*$D72*$E72*J72)</f>
        <v/>
      </c>
      <c r="S72" s="19">
        <f>IF(OR($A72="",S$4=""),"",$C72*$D72*$E72*K72)</f>
        <v/>
      </c>
    </row>
    <row r="73">
      <c r="A73" s="16" t="n"/>
      <c r="B73" s="16" t="n"/>
      <c r="C73" s="17" t="n"/>
      <c r="D73" s="27" t="n"/>
      <c r="E73" s="27" t="n"/>
      <c r="F73" s="28" t="n"/>
      <c r="G73" s="28" t="n"/>
      <c r="H73" s="28" t="n"/>
      <c r="I73" s="28" t="n"/>
      <c r="J73" s="28" t="n"/>
      <c r="K73" s="28" t="n"/>
      <c r="L73" s="29">
        <f>IF($A73="","",SUMPRODUCT(($F$4:$K$4&lt;&gt;"")*$F73:$K73))</f>
        <v/>
      </c>
      <c r="M73" s="19">
        <f>IF($A73="","",SUM($N73:$S73))</f>
        <v/>
      </c>
      <c r="N73" s="19">
        <f>IF(OR($A73="",N$4=""),"",$C73*$D73*$E73*F73)</f>
        <v/>
      </c>
      <c r="O73" s="19">
        <f>IF(OR($A73="",O$4=""),"",$C73*$D73*$E73*G73)</f>
        <v/>
      </c>
      <c r="P73" s="19">
        <f>IF(OR($A73="",P$4=""),"",$C73*$D73*$E73*H73)</f>
        <v/>
      </c>
      <c r="Q73" s="19">
        <f>IF(OR($A73="",Q$4=""),"",$C73*$D73*$E73*I73)</f>
        <v/>
      </c>
      <c r="R73" s="19">
        <f>IF(OR($A73="",R$4=""),"",$C73*$D73*$E73*J73)</f>
        <v/>
      </c>
      <c r="S73" s="19">
        <f>IF(OR($A73="",S$4=""),"",$C73*$D73*$E73*K73)</f>
        <v/>
      </c>
    </row>
    <row r="74">
      <c r="A74" s="16" t="n"/>
      <c r="B74" s="16" t="n"/>
      <c r="C74" s="17" t="n"/>
      <c r="D74" s="27" t="n"/>
      <c r="E74" s="27" t="n"/>
      <c r="F74" s="28" t="n"/>
      <c r="G74" s="28" t="n"/>
      <c r="H74" s="28" t="n"/>
      <c r="I74" s="28" t="n"/>
      <c r="J74" s="28" t="n"/>
      <c r="K74" s="28" t="n"/>
      <c r="L74" s="29">
        <f>IF($A74="","",SUMPRODUCT(($F$4:$K$4&lt;&gt;"")*$F74:$K74))</f>
        <v/>
      </c>
      <c r="M74" s="19">
        <f>IF($A74="","",SUM($N74:$S74))</f>
        <v/>
      </c>
      <c r="N74" s="19">
        <f>IF(OR($A74="",N$4=""),"",$C74*$D74*$E74*F74)</f>
        <v/>
      </c>
      <c r="O74" s="19">
        <f>IF(OR($A74="",O$4=""),"",$C74*$D74*$E74*G74)</f>
        <v/>
      </c>
      <c r="P74" s="19">
        <f>IF(OR($A74="",P$4=""),"",$C74*$D74*$E74*H74)</f>
        <v/>
      </c>
      <c r="Q74" s="19">
        <f>IF(OR($A74="",Q$4=""),"",$C74*$D74*$E74*I74)</f>
        <v/>
      </c>
      <c r="R74" s="19">
        <f>IF(OR($A74="",R$4=""),"",$C74*$D74*$E74*J74)</f>
        <v/>
      </c>
      <c r="S74" s="19">
        <f>IF(OR($A74="",S$4=""),"",$C74*$D74*$E74*K74)</f>
        <v/>
      </c>
    </row>
    <row r="75">
      <c r="A75" s="16" t="n"/>
      <c r="B75" s="16" t="n"/>
      <c r="C75" s="17" t="n"/>
      <c r="D75" s="27" t="n"/>
      <c r="E75" s="27" t="n"/>
      <c r="F75" s="28" t="n"/>
      <c r="G75" s="28" t="n"/>
      <c r="H75" s="28" t="n"/>
      <c r="I75" s="28" t="n"/>
      <c r="J75" s="28" t="n"/>
      <c r="K75" s="28" t="n"/>
      <c r="L75" s="29">
        <f>IF($A75="","",SUMPRODUCT(($F$4:$K$4&lt;&gt;"")*$F75:$K75))</f>
        <v/>
      </c>
      <c r="M75" s="19">
        <f>IF($A75="","",SUM($N75:$S75))</f>
        <v/>
      </c>
      <c r="N75" s="19">
        <f>IF(OR($A75="",N$4=""),"",$C75*$D75*$E75*F75)</f>
        <v/>
      </c>
      <c r="O75" s="19">
        <f>IF(OR($A75="",O$4=""),"",$C75*$D75*$E75*G75)</f>
        <v/>
      </c>
      <c r="P75" s="19">
        <f>IF(OR($A75="",P$4=""),"",$C75*$D75*$E75*H75)</f>
        <v/>
      </c>
      <c r="Q75" s="19">
        <f>IF(OR($A75="",Q$4=""),"",$C75*$D75*$E75*I75)</f>
        <v/>
      </c>
      <c r="R75" s="19">
        <f>IF(OR($A75="",R$4=""),"",$C75*$D75*$E75*J75)</f>
        <v/>
      </c>
      <c r="S75" s="19">
        <f>IF(OR($A75="",S$4=""),"",$C75*$D75*$E75*K75)</f>
        <v/>
      </c>
    </row>
    <row r="76">
      <c r="A76" s="16" t="n"/>
      <c r="B76" s="16" t="n"/>
      <c r="C76" s="17" t="n"/>
      <c r="D76" s="27" t="n"/>
      <c r="E76" s="27" t="n"/>
      <c r="F76" s="28" t="n"/>
      <c r="G76" s="28" t="n"/>
      <c r="H76" s="28" t="n"/>
      <c r="I76" s="28" t="n"/>
      <c r="J76" s="28" t="n"/>
      <c r="K76" s="28" t="n"/>
      <c r="L76" s="29">
        <f>IF($A76="","",SUMPRODUCT(($F$4:$K$4&lt;&gt;"")*$F76:$K76))</f>
        <v/>
      </c>
      <c r="M76" s="19">
        <f>IF($A76="","",SUM($N76:$S76))</f>
        <v/>
      </c>
      <c r="N76" s="19">
        <f>IF(OR($A76="",N$4=""),"",$C76*$D76*$E76*F76)</f>
        <v/>
      </c>
      <c r="O76" s="19">
        <f>IF(OR($A76="",O$4=""),"",$C76*$D76*$E76*G76)</f>
        <v/>
      </c>
      <c r="P76" s="19">
        <f>IF(OR($A76="",P$4=""),"",$C76*$D76*$E76*H76)</f>
        <v/>
      </c>
      <c r="Q76" s="19">
        <f>IF(OR($A76="",Q$4=""),"",$C76*$D76*$E76*I76)</f>
        <v/>
      </c>
      <c r="R76" s="19">
        <f>IF(OR($A76="",R$4=""),"",$C76*$D76*$E76*J76)</f>
        <v/>
      </c>
      <c r="S76" s="19">
        <f>IF(OR($A76="",S$4=""),"",$C76*$D76*$E76*K76)</f>
        <v/>
      </c>
    </row>
    <row r="77">
      <c r="A77" s="16" t="n"/>
      <c r="B77" s="16" t="n"/>
      <c r="C77" s="17" t="n"/>
      <c r="D77" s="27" t="n"/>
      <c r="E77" s="27" t="n"/>
      <c r="F77" s="28" t="n"/>
      <c r="G77" s="28" t="n"/>
      <c r="H77" s="28" t="n"/>
      <c r="I77" s="28" t="n"/>
      <c r="J77" s="28" t="n"/>
      <c r="K77" s="28" t="n"/>
      <c r="L77" s="29">
        <f>IF($A77="","",SUMPRODUCT(($F$4:$K$4&lt;&gt;"")*$F77:$K77))</f>
        <v/>
      </c>
      <c r="M77" s="19">
        <f>IF($A77="","",SUM($N77:$S77))</f>
        <v/>
      </c>
      <c r="N77" s="19">
        <f>IF(OR($A77="",N$4=""),"",$C77*$D77*$E77*F77)</f>
        <v/>
      </c>
      <c r="O77" s="19">
        <f>IF(OR($A77="",O$4=""),"",$C77*$D77*$E77*G77)</f>
        <v/>
      </c>
      <c r="P77" s="19">
        <f>IF(OR($A77="",P$4=""),"",$C77*$D77*$E77*H77)</f>
        <v/>
      </c>
      <c r="Q77" s="19">
        <f>IF(OR($A77="",Q$4=""),"",$C77*$D77*$E77*I77)</f>
        <v/>
      </c>
      <c r="R77" s="19">
        <f>IF(OR($A77="",R$4=""),"",$C77*$D77*$E77*J77)</f>
        <v/>
      </c>
      <c r="S77" s="19">
        <f>IF(OR($A77="",S$4=""),"",$C77*$D77*$E77*K77)</f>
        <v/>
      </c>
    </row>
    <row r="78">
      <c r="A78" s="16" t="n"/>
      <c r="B78" s="16" t="n"/>
      <c r="C78" s="17" t="n"/>
      <c r="D78" s="27" t="n"/>
      <c r="E78" s="27" t="n"/>
      <c r="F78" s="28" t="n"/>
      <c r="G78" s="28" t="n"/>
      <c r="H78" s="28" t="n"/>
      <c r="I78" s="28" t="n"/>
      <c r="J78" s="28" t="n"/>
      <c r="K78" s="28" t="n"/>
      <c r="L78" s="29">
        <f>IF($A78="","",SUMPRODUCT(($F$4:$K$4&lt;&gt;"")*$F78:$K78))</f>
        <v/>
      </c>
      <c r="M78" s="19">
        <f>IF($A78="","",SUM($N78:$S78))</f>
        <v/>
      </c>
      <c r="N78" s="19">
        <f>IF(OR($A78="",N$4=""),"",$C78*$D78*$E78*F78)</f>
        <v/>
      </c>
      <c r="O78" s="19">
        <f>IF(OR($A78="",O$4=""),"",$C78*$D78*$E78*G78)</f>
        <v/>
      </c>
      <c r="P78" s="19">
        <f>IF(OR($A78="",P$4=""),"",$C78*$D78*$E78*H78)</f>
        <v/>
      </c>
      <c r="Q78" s="19">
        <f>IF(OR($A78="",Q$4=""),"",$C78*$D78*$E78*I78)</f>
        <v/>
      </c>
      <c r="R78" s="19">
        <f>IF(OR($A78="",R$4=""),"",$C78*$D78*$E78*J78)</f>
        <v/>
      </c>
      <c r="S78" s="19">
        <f>IF(OR($A78="",S$4=""),"",$C78*$D78*$E78*K78)</f>
        <v/>
      </c>
    </row>
    <row r="79">
      <c r="A79" s="16" t="n"/>
      <c r="B79" s="16" t="n"/>
      <c r="C79" s="17" t="n"/>
      <c r="D79" s="27" t="n"/>
      <c r="E79" s="27" t="n"/>
      <c r="F79" s="28" t="n"/>
      <c r="G79" s="28" t="n"/>
      <c r="H79" s="28" t="n"/>
      <c r="I79" s="28" t="n"/>
      <c r="J79" s="28" t="n"/>
      <c r="K79" s="28" t="n"/>
      <c r="L79" s="29">
        <f>IF($A79="","",SUMPRODUCT(($F$4:$K$4&lt;&gt;"")*$F79:$K79))</f>
        <v/>
      </c>
      <c r="M79" s="19">
        <f>IF($A79="","",SUM($N79:$S79))</f>
        <v/>
      </c>
      <c r="N79" s="19">
        <f>IF(OR($A79="",N$4=""),"",$C79*$D79*$E79*F79)</f>
        <v/>
      </c>
      <c r="O79" s="19">
        <f>IF(OR($A79="",O$4=""),"",$C79*$D79*$E79*G79)</f>
        <v/>
      </c>
      <c r="P79" s="19">
        <f>IF(OR($A79="",P$4=""),"",$C79*$D79*$E79*H79)</f>
        <v/>
      </c>
      <c r="Q79" s="19">
        <f>IF(OR($A79="",Q$4=""),"",$C79*$D79*$E79*I79)</f>
        <v/>
      </c>
      <c r="R79" s="19">
        <f>IF(OR($A79="",R$4=""),"",$C79*$D79*$E79*J79)</f>
        <v/>
      </c>
      <c r="S79" s="19">
        <f>IF(OR($A79="",S$4=""),"",$C79*$D79*$E79*K79)</f>
        <v/>
      </c>
    </row>
    <row r="80">
      <c r="A80" s="16" t="n"/>
      <c r="B80" s="16" t="n"/>
      <c r="C80" s="17" t="n"/>
      <c r="D80" s="27" t="n"/>
      <c r="E80" s="27" t="n"/>
      <c r="F80" s="28" t="n"/>
      <c r="G80" s="28" t="n"/>
      <c r="H80" s="28" t="n"/>
      <c r="I80" s="28" t="n"/>
      <c r="J80" s="28" t="n"/>
      <c r="K80" s="28" t="n"/>
      <c r="L80" s="29">
        <f>IF($A80="","",SUMPRODUCT(($F$4:$K$4&lt;&gt;"")*$F80:$K80))</f>
        <v/>
      </c>
      <c r="M80" s="19">
        <f>IF($A80="","",SUM($N80:$S80))</f>
        <v/>
      </c>
      <c r="N80" s="19">
        <f>IF(OR($A80="",N$4=""),"",$C80*$D80*$E80*F80)</f>
        <v/>
      </c>
      <c r="O80" s="19">
        <f>IF(OR($A80="",O$4=""),"",$C80*$D80*$E80*G80)</f>
        <v/>
      </c>
      <c r="P80" s="19">
        <f>IF(OR($A80="",P$4=""),"",$C80*$D80*$E80*H80)</f>
        <v/>
      </c>
      <c r="Q80" s="19">
        <f>IF(OR($A80="",Q$4=""),"",$C80*$D80*$E80*I80)</f>
        <v/>
      </c>
      <c r="R80" s="19">
        <f>IF(OR($A80="",R$4=""),"",$C80*$D80*$E80*J80)</f>
        <v/>
      </c>
      <c r="S80" s="19">
        <f>IF(OR($A80="",S$4=""),"",$C80*$D80*$E80*K80)</f>
        <v/>
      </c>
    </row>
    <row r="81">
      <c r="A81" s="16" t="n"/>
      <c r="B81" s="16" t="n"/>
      <c r="C81" s="17" t="n"/>
      <c r="D81" s="27" t="n"/>
      <c r="E81" s="27" t="n"/>
      <c r="F81" s="28" t="n"/>
      <c r="G81" s="28" t="n"/>
      <c r="H81" s="28" t="n"/>
      <c r="I81" s="28" t="n"/>
      <c r="J81" s="28" t="n"/>
      <c r="K81" s="28" t="n"/>
      <c r="L81" s="29">
        <f>IF($A81="","",SUMPRODUCT(($F$4:$K$4&lt;&gt;"")*$F81:$K81))</f>
        <v/>
      </c>
      <c r="M81" s="19">
        <f>IF($A81="","",SUM($N81:$S81))</f>
        <v/>
      </c>
      <c r="N81" s="19">
        <f>IF(OR($A81="",N$4=""),"",$C81*$D81*$E81*F81)</f>
        <v/>
      </c>
      <c r="O81" s="19">
        <f>IF(OR($A81="",O$4=""),"",$C81*$D81*$E81*G81)</f>
        <v/>
      </c>
      <c r="P81" s="19">
        <f>IF(OR($A81="",P$4=""),"",$C81*$D81*$E81*H81)</f>
        <v/>
      </c>
      <c r="Q81" s="19">
        <f>IF(OR($A81="",Q$4=""),"",$C81*$D81*$E81*I81)</f>
        <v/>
      </c>
      <c r="R81" s="19">
        <f>IF(OR($A81="",R$4=""),"",$C81*$D81*$E81*J81)</f>
        <v/>
      </c>
      <c r="S81" s="19">
        <f>IF(OR($A81="",S$4=""),"",$C81*$D81*$E81*K81)</f>
        <v/>
      </c>
    </row>
    <row r="82">
      <c r="A82" s="16" t="n"/>
      <c r="B82" s="16" t="n"/>
      <c r="C82" s="17" t="n"/>
      <c r="D82" s="27" t="n"/>
      <c r="E82" s="27" t="n"/>
      <c r="F82" s="28" t="n"/>
      <c r="G82" s="28" t="n"/>
      <c r="H82" s="28" t="n"/>
      <c r="I82" s="28" t="n"/>
      <c r="J82" s="28" t="n"/>
      <c r="K82" s="28" t="n"/>
      <c r="L82" s="29">
        <f>IF($A82="","",SUMPRODUCT(($F$4:$K$4&lt;&gt;"")*$F82:$K82))</f>
        <v/>
      </c>
      <c r="M82" s="19">
        <f>IF($A82="","",SUM($N82:$S82))</f>
        <v/>
      </c>
      <c r="N82" s="19">
        <f>IF(OR($A82="",N$4=""),"",$C82*$D82*$E82*F82)</f>
        <v/>
      </c>
      <c r="O82" s="19">
        <f>IF(OR($A82="",O$4=""),"",$C82*$D82*$E82*G82)</f>
        <v/>
      </c>
      <c r="P82" s="19">
        <f>IF(OR($A82="",P$4=""),"",$C82*$D82*$E82*H82)</f>
        <v/>
      </c>
      <c r="Q82" s="19">
        <f>IF(OR($A82="",Q$4=""),"",$C82*$D82*$E82*I82)</f>
        <v/>
      </c>
      <c r="R82" s="19">
        <f>IF(OR($A82="",R$4=""),"",$C82*$D82*$E82*J82)</f>
        <v/>
      </c>
      <c r="S82" s="19">
        <f>IF(OR($A82="",S$4=""),"",$C82*$D82*$E82*K82)</f>
        <v/>
      </c>
    </row>
    <row r="83">
      <c r="A83" s="16" t="n"/>
      <c r="B83" s="16" t="n"/>
      <c r="C83" s="17" t="n"/>
      <c r="D83" s="27" t="n"/>
      <c r="E83" s="27" t="n"/>
      <c r="F83" s="28" t="n"/>
      <c r="G83" s="28" t="n"/>
      <c r="H83" s="28" t="n"/>
      <c r="I83" s="28" t="n"/>
      <c r="J83" s="28" t="n"/>
      <c r="K83" s="28" t="n"/>
      <c r="L83" s="29">
        <f>IF($A83="","",SUMPRODUCT(($F$4:$K$4&lt;&gt;"")*$F83:$K83))</f>
        <v/>
      </c>
      <c r="M83" s="19">
        <f>IF($A83="","",SUM($N83:$S83))</f>
        <v/>
      </c>
      <c r="N83" s="19">
        <f>IF(OR($A83="",N$4=""),"",$C83*$D83*$E83*F83)</f>
        <v/>
      </c>
      <c r="O83" s="19">
        <f>IF(OR($A83="",O$4=""),"",$C83*$D83*$E83*G83)</f>
        <v/>
      </c>
      <c r="P83" s="19">
        <f>IF(OR($A83="",P$4=""),"",$C83*$D83*$E83*H83)</f>
        <v/>
      </c>
      <c r="Q83" s="19">
        <f>IF(OR($A83="",Q$4=""),"",$C83*$D83*$E83*I83)</f>
        <v/>
      </c>
      <c r="R83" s="19">
        <f>IF(OR($A83="",R$4=""),"",$C83*$D83*$E83*J83)</f>
        <v/>
      </c>
      <c r="S83" s="19">
        <f>IF(OR($A83="",S$4=""),"",$C83*$D83*$E83*K83)</f>
        <v/>
      </c>
    </row>
    <row r="84">
      <c r="A84" s="16" t="n"/>
      <c r="B84" s="16" t="n"/>
      <c r="C84" s="17" t="n"/>
      <c r="D84" s="27" t="n"/>
      <c r="E84" s="27" t="n"/>
      <c r="F84" s="28" t="n"/>
      <c r="G84" s="28" t="n"/>
      <c r="H84" s="28" t="n"/>
      <c r="I84" s="28" t="n"/>
      <c r="J84" s="28" t="n"/>
      <c r="K84" s="28" t="n"/>
      <c r="L84" s="29">
        <f>IF($A84="","",SUMPRODUCT(($F$4:$K$4&lt;&gt;"")*$F84:$K84))</f>
        <v/>
      </c>
      <c r="M84" s="19">
        <f>IF($A84="","",SUM($N84:$S84))</f>
        <v/>
      </c>
      <c r="N84" s="19">
        <f>IF(OR($A84="",N$4=""),"",$C84*$D84*$E84*F84)</f>
        <v/>
      </c>
      <c r="O84" s="19">
        <f>IF(OR($A84="",O$4=""),"",$C84*$D84*$E84*G84)</f>
        <v/>
      </c>
      <c r="P84" s="19">
        <f>IF(OR($A84="",P$4=""),"",$C84*$D84*$E84*H84)</f>
        <v/>
      </c>
      <c r="Q84" s="19">
        <f>IF(OR($A84="",Q$4=""),"",$C84*$D84*$E84*I84)</f>
        <v/>
      </c>
      <c r="R84" s="19">
        <f>IF(OR($A84="",R$4=""),"",$C84*$D84*$E84*J84)</f>
        <v/>
      </c>
      <c r="S84" s="19">
        <f>IF(OR($A84="",S$4=""),"",$C84*$D84*$E84*K84)</f>
        <v/>
      </c>
    </row>
    <row r="85">
      <c r="A85" s="16" t="n"/>
      <c r="B85" s="16" t="n"/>
      <c r="C85" s="17" t="n"/>
      <c r="D85" s="27" t="n"/>
      <c r="E85" s="27" t="n"/>
      <c r="F85" s="28" t="n"/>
      <c r="G85" s="28" t="n"/>
      <c r="H85" s="28" t="n"/>
      <c r="I85" s="28" t="n"/>
      <c r="J85" s="28" t="n"/>
      <c r="K85" s="28" t="n"/>
      <c r="L85" s="29">
        <f>IF($A85="","",SUMPRODUCT(($F$4:$K$4&lt;&gt;"")*$F85:$K85))</f>
        <v/>
      </c>
      <c r="M85" s="19">
        <f>IF($A85="","",SUM($N85:$S85))</f>
        <v/>
      </c>
      <c r="N85" s="19">
        <f>IF(OR($A85="",N$4=""),"",$C85*$D85*$E85*F85)</f>
        <v/>
      </c>
      <c r="O85" s="19">
        <f>IF(OR($A85="",O$4=""),"",$C85*$D85*$E85*G85)</f>
        <v/>
      </c>
      <c r="P85" s="19">
        <f>IF(OR($A85="",P$4=""),"",$C85*$D85*$E85*H85)</f>
        <v/>
      </c>
      <c r="Q85" s="19">
        <f>IF(OR($A85="",Q$4=""),"",$C85*$D85*$E85*I85)</f>
        <v/>
      </c>
      <c r="R85" s="19">
        <f>IF(OR($A85="",R$4=""),"",$C85*$D85*$E85*J85)</f>
        <v/>
      </c>
      <c r="S85" s="19">
        <f>IF(OR($A85="",S$4=""),"",$C85*$D85*$E85*K85)</f>
        <v/>
      </c>
    </row>
    <row r="86">
      <c r="A86" s="16" t="n"/>
      <c r="B86" s="16" t="n"/>
      <c r="C86" s="17" t="n"/>
      <c r="D86" s="27" t="n"/>
      <c r="E86" s="27" t="n"/>
      <c r="F86" s="28" t="n"/>
      <c r="G86" s="28" t="n"/>
      <c r="H86" s="28" t="n"/>
      <c r="I86" s="28" t="n"/>
      <c r="J86" s="28" t="n"/>
      <c r="K86" s="28" t="n"/>
      <c r="L86" s="29">
        <f>IF($A86="","",SUMPRODUCT(($F$4:$K$4&lt;&gt;"")*$F86:$K86))</f>
        <v/>
      </c>
      <c r="M86" s="19">
        <f>IF($A86="","",SUM($N86:$S86))</f>
        <v/>
      </c>
      <c r="N86" s="19">
        <f>IF(OR($A86="",N$4=""),"",$C86*$D86*$E86*F86)</f>
        <v/>
      </c>
      <c r="O86" s="19">
        <f>IF(OR($A86="",O$4=""),"",$C86*$D86*$E86*G86)</f>
        <v/>
      </c>
      <c r="P86" s="19">
        <f>IF(OR($A86="",P$4=""),"",$C86*$D86*$E86*H86)</f>
        <v/>
      </c>
      <c r="Q86" s="19">
        <f>IF(OR($A86="",Q$4=""),"",$C86*$D86*$E86*I86)</f>
        <v/>
      </c>
      <c r="R86" s="19">
        <f>IF(OR($A86="",R$4=""),"",$C86*$D86*$E86*J86)</f>
        <v/>
      </c>
      <c r="S86" s="19">
        <f>IF(OR($A86="",S$4=""),"",$C86*$D86*$E86*K86)</f>
        <v/>
      </c>
    </row>
    <row r="87">
      <c r="A87" s="16" t="n"/>
      <c r="B87" s="16" t="n"/>
      <c r="C87" s="17" t="n"/>
      <c r="D87" s="27" t="n"/>
      <c r="E87" s="27" t="n"/>
      <c r="F87" s="28" t="n"/>
      <c r="G87" s="28" t="n"/>
      <c r="H87" s="28" t="n"/>
      <c r="I87" s="28" t="n"/>
      <c r="J87" s="28" t="n"/>
      <c r="K87" s="28" t="n"/>
      <c r="L87" s="29">
        <f>IF($A87="","",SUMPRODUCT(($F$4:$K$4&lt;&gt;"")*$F87:$K87))</f>
        <v/>
      </c>
      <c r="M87" s="19">
        <f>IF($A87="","",SUM($N87:$S87))</f>
        <v/>
      </c>
      <c r="N87" s="19">
        <f>IF(OR($A87="",N$4=""),"",$C87*$D87*$E87*F87)</f>
        <v/>
      </c>
      <c r="O87" s="19">
        <f>IF(OR($A87="",O$4=""),"",$C87*$D87*$E87*G87)</f>
        <v/>
      </c>
      <c r="P87" s="19">
        <f>IF(OR($A87="",P$4=""),"",$C87*$D87*$E87*H87)</f>
        <v/>
      </c>
      <c r="Q87" s="19">
        <f>IF(OR($A87="",Q$4=""),"",$C87*$D87*$E87*I87)</f>
        <v/>
      </c>
      <c r="R87" s="19">
        <f>IF(OR($A87="",R$4=""),"",$C87*$D87*$E87*J87)</f>
        <v/>
      </c>
      <c r="S87" s="19">
        <f>IF(OR($A87="",S$4=""),"",$C87*$D87*$E87*K87)</f>
        <v/>
      </c>
    </row>
    <row r="88">
      <c r="A88" s="16" t="n"/>
      <c r="B88" s="16" t="n"/>
      <c r="C88" s="17" t="n"/>
      <c r="D88" s="27" t="n"/>
      <c r="E88" s="27" t="n"/>
      <c r="F88" s="28" t="n"/>
      <c r="G88" s="28" t="n"/>
      <c r="H88" s="28" t="n"/>
      <c r="I88" s="28" t="n"/>
      <c r="J88" s="28" t="n"/>
      <c r="K88" s="28" t="n"/>
      <c r="L88" s="29">
        <f>IF($A88="","",SUMPRODUCT(($F$4:$K$4&lt;&gt;"")*$F88:$K88))</f>
        <v/>
      </c>
      <c r="M88" s="19">
        <f>IF($A88="","",SUM($N88:$S88))</f>
        <v/>
      </c>
      <c r="N88" s="19">
        <f>IF(OR($A88="",N$4=""),"",$C88*$D88*$E88*F88)</f>
        <v/>
      </c>
      <c r="O88" s="19">
        <f>IF(OR($A88="",O$4=""),"",$C88*$D88*$E88*G88)</f>
        <v/>
      </c>
      <c r="P88" s="19">
        <f>IF(OR($A88="",P$4=""),"",$C88*$D88*$E88*H88)</f>
        <v/>
      </c>
      <c r="Q88" s="19">
        <f>IF(OR($A88="",Q$4=""),"",$C88*$D88*$E88*I88)</f>
        <v/>
      </c>
      <c r="R88" s="19">
        <f>IF(OR($A88="",R$4=""),"",$C88*$D88*$E88*J88)</f>
        <v/>
      </c>
      <c r="S88" s="19">
        <f>IF(OR($A88="",S$4=""),"",$C88*$D88*$E88*K88)</f>
        <v/>
      </c>
    </row>
    <row r="89">
      <c r="A89" s="16" t="n"/>
      <c r="B89" s="16" t="n"/>
      <c r="C89" s="17" t="n"/>
      <c r="D89" s="27" t="n"/>
      <c r="E89" s="27" t="n"/>
      <c r="F89" s="28" t="n"/>
      <c r="G89" s="28" t="n"/>
      <c r="H89" s="28" t="n"/>
      <c r="I89" s="28" t="n"/>
      <c r="J89" s="28" t="n"/>
      <c r="K89" s="28" t="n"/>
      <c r="L89" s="29">
        <f>IF($A89="","",SUMPRODUCT(($F$4:$K$4&lt;&gt;"")*$F89:$K89))</f>
        <v/>
      </c>
      <c r="M89" s="19">
        <f>IF($A89="","",SUM($N89:$S89))</f>
        <v/>
      </c>
      <c r="N89" s="19">
        <f>IF(OR($A89="",N$4=""),"",$C89*$D89*$E89*F89)</f>
        <v/>
      </c>
      <c r="O89" s="19">
        <f>IF(OR($A89="",O$4=""),"",$C89*$D89*$E89*G89)</f>
        <v/>
      </c>
      <c r="P89" s="19">
        <f>IF(OR($A89="",P$4=""),"",$C89*$D89*$E89*H89)</f>
        <v/>
      </c>
      <c r="Q89" s="19">
        <f>IF(OR($A89="",Q$4=""),"",$C89*$D89*$E89*I89)</f>
        <v/>
      </c>
      <c r="R89" s="19">
        <f>IF(OR($A89="",R$4=""),"",$C89*$D89*$E89*J89)</f>
        <v/>
      </c>
      <c r="S89" s="19">
        <f>IF(OR($A89="",S$4=""),"",$C89*$D89*$E89*K89)</f>
        <v/>
      </c>
    </row>
    <row r="90">
      <c r="A90" s="16" t="n"/>
      <c r="B90" s="16" t="n"/>
      <c r="C90" s="17" t="n"/>
      <c r="D90" s="27" t="n"/>
      <c r="E90" s="27" t="n"/>
      <c r="F90" s="28" t="n"/>
      <c r="G90" s="28" t="n"/>
      <c r="H90" s="28" t="n"/>
      <c r="I90" s="28" t="n"/>
      <c r="J90" s="28" t="n"/>
      <c r="K90" s="28" t="n"/>
      <c r="L90" s="29">
        <f>IF($A90="","",SUMPRODUCT(($F$4:$K$4&lt;&gt;"")*$F90:$K90))</f>
        <v/>
      </c>
      <c r="M90" s="19">
        <f>IF($A90="","",SUM($N90:$S90))</f>
        <v/>
      </c>
      <c r="N90" s="19">
        <f>IF(OR($A90="",N$4=""),"",$C90*$D90*$E90*F90)</f>
        <v/>
      </c>
      <c r="O90" s="19">
        <f>IF(OR($A90="",O$4=""),"",$C90*$D90*$E90*G90)</f>
        <v/>
      </c>
      <c r="P90" s="19">
        <f>IF(OR($A90="",P$4=""),"",$C90*$D90*$E90*H90)</f>
        <v/>
      </c>
      <c r="Q90" s="19">
        <f>IF(OR($A90="",Q$4=""),"",$C90*$D90*$E90*I90)</f>
        <v/>
      </c>
      <c r="R90" s="19">
        <f>IF(OR($A90="",R$4=""),"",$C90*$D90*$E90*J90)</f>
        <v/>
      </c>
      <c r="S90" s="19">
        <f>IF(OR($A90="",S$4=""),"",$C90*$D90*$E90*K90)</f>
        <v/>
      </c>
    </row>
    <row r="91">
      <c r="A91" s="16" t="n"/>
      <c r="B91" s="16" t="n"/>
      <c r="C91" s="17" t="n"/>
      <c r="D91" s="27" t="n"/>
      <c r="E91" s="27" t="n"/>
      <c r="F91" s="28" t="n"/>
      <c r="G91" s="28" t="n"/>
      <c r="H91" s="28" t="n"/>
      <c r="I91" s="28" t="n"/>
      <c r="J91" s="28" t="n"/>
      <c r="K91" s="28" t="n"/>
      <c r="L91" s="29">
        <f>IF($A91="","",SUMPRODUCT(($F$4:$K$4&lt;&gt;"")*$F91:$K91))</f>
        <v/>
      </c>
      <c r="M91" s="19">
        <f>IF($A91="","",SUM($N91:$S91))</f>
        <v/>
      </c>
      <c r="N91" s="19">
        <f>IF(OR($A91="",N$4=""),"",$C91*$D91*$E91*F91)</f>
        <v/>
      </c>
      <c r="O91" s="19">
        <f>IF(OR($A91="",O$4=""),"",$C91*$D91*$E91*G91)</f>
        <v/>
      </c>
      <c r="P91" s="19">
        <f>IF(OR($A91="",P$4=""),"",$C91*$D91*$E91*H91)</f>
        <v/>
      </c>
      <c r="Q91" s="19">
        <f>IF(OR($A91="",Q$4=""),"",$C91*$D91*$E91*I91)</f>
        <v/>
      </c>
      <c r="R91" s="19">
        <f>IF(OR($A91="",R$4=""),"",$C91*$D91*$E91*J91)</f>
        <v/>
      </c>
      <c r="S91" s="19">
        <f>IF(OR($A91="",S$4=""),"",$C91*$D91*$E91*K91)</f>
        <v/>
      </c>
    </row>
    <row r="92">
      <c r="A92" s="16" t="n"/>
      <c r="B92" s="16" t="n"/>
      <c r="C92" s="17" t="n"/>
      <c r="D92" s="27" t="n"/>
      <c r="E92" s="27" t="n"/>
      <c r="F92" s="28" t="n"/>
      <c r="G92" s="28" t="n"/>
      <c r="H92" s="28" t="n"/>
      <c r="I92" s="28" t="n"/>
      <c r="J92" s="28" t="n"/>
      <c r="K92" s="28" t="n"/>
      <c r="L92" s="29">
        <f>IF($A92="","",SUMPRODUCT(($F$4:$K$4&lt;&gt;"")*$F92:$K92))</f>
        <v/>
      </c>
      <c r="M92" s="19">
        <f>IF($A92="","",SUM($N92:$S92))</f>
        <v/>
      </c>
      <c r="N92" s="19">
        <f>IF(OR($A92="",N$4=""),"",$C92*$D92*$E92*F92)</f>
        <v/>
      </c>
      <c r="O92" s="19">
        <f>IF(OR($A92="",O$4=""),"",$C92*$D92*$E92*G92)</f>
        <v/>
      </c>
      <c r="P92" s="19">
        <f>IF(OR($A92="",P$4=""),"",$C92*$D92*$E92*H92)</f>
        <v/>
      </c>
      <c r="Q92" s="19">
        <f>IF(OR($A92="",Q$4=""),"",$C92*$D92*$E92*I92)</f>
        <v/>
      </c>
      <c r="R92" s="19">
        <f>IF(OR($A92="",R$4=""),"",$C92*$D92*$E92*J92)</f>
        <v/>
      </c>
      <c r="S92" s="19">
        <f>IF(OR($A92="",S$4=""),"",$C92*$D92*$E92*K92)</f>
        <v/>
      </c>
    </row>
    <row r="93">
      <c r="A93" s="16" t="n"/>
      <c r="B93" s="16" t="n"/>
      <c r="C93" s="17" t="n"/>
      <c r="D93" s="27" t="n"/>
      <c r="E93" s="27" t="n"/>
      <c r="F93" s="28" t="n"/>
      <c r="G93" s="28" t="n"/>
      <c r="H93" s="28" t="n"/>
      <c r="I93" s="28" t="n"/>
      <c r="J93" s="28" t="n"/>
      <c r="K93" s="28" t="n"/>
      <c r="L93" s="29">
        <f>IF($A93="","",SUMPRODUCT(($F$4:$K$4&lt;&gt;"")*$F93:$K93))</f>
        <v/>
      </c>
      <c r="M93" s="19">
        <f>IF($A93="","",SUM($N93:$S93))</f>
        <v/>
      </c>
      <c r="N93" s="19">
        <f>IF(OR($A93="",N$4=""),"",$C93*$D93*$E93*F93)</f>
        <v/>
      </c>
      <c r="O93" s="19">
        <f>IF(OR($A93="",O$4=""),"",$C93*$D93*$E93*G93)</f>
        <v/>
      </c>
      <c r="P93" s="19">
        <f>IF(OR($A93="",P$4=""),"",$C93*$D93*$E93*H93)</f>
        <v/>
      </c>
      <c r="Q93" s="19">
        <f>IF(OR($A93="",Q$4=""),"",$C93*$D93*$E93*I93)</f>
        <v/>
      </c>
      <c r="R93" s="19">
        <f>IF(OR($A93="",R$4=""),"",$C93*$D93*$E93*J93)</f>
        <v/>
      </c>
      <c r="S93" s="19">
        <f>IF(OR($A93="",S$4=""),"",$C93*$D93*$E93*K93)</f>
        <v/>
      </c>
    </row>
    <row r="94">
      <c r="A94" s="16" t="n"/>
      <c r="B94" s="16" t="n"/>
      <c r="C94" s="17" t="n"/>
      <c r="D94" s="27" t="n"/>
      <c r="E94" s="27" t="n"/>
      <c r="F94" s="28" t="n"/>
      <c r="G94" s="28" t="n"/>
      <c r="H94" s="28" t="n"/>
      <c r="I94" s="28" t="n"/>
      <c r="J94" s="28" t="n"/>
      <c r="K94" s="28" t="n"/>
      <c r="L94" s="29">
        <f>IF($A94="","",SUMPRODUCT(($F$4:$K$4&lt;&gt;"")*$F94:$K94))</f>
        <v/>
      </c>
      <c r="M94" s="19">
        <f>IF($A94="","",SUM($N94:$S94))</f>
        <v/>
      </c>
      <c r="N94" s="19">
        <f>IF(OR($A94="",N$4=""),"",$C94*$D94*$E94*F94)</f>
        <v/>
      </c>
      <c r="O94" s="19">
        <f>IF(OR($A94="",O$4=""),"",$C94*$D94*$E94*G94)</f>
        <v/>
      </c>
      <c r="P94" s="19">
        <f>IF(OR($A94="",P$4=""),"",$C94*$D94*$E94*H94)</f>
        <v/>
      </c>
      <c r="Q94" s="19">
        <f>IF(OR($A94="",Q$4=""),"",$C94*$D94*$E94*I94)</f>
        <v/>
      </c>
      <c r="R94" s="19">
        <f>IF(OR($A94="",R$4=""),"",$C94*$D94*$E94*J94)</f>
        <v/>
      </c>
      <c r="S94" s="19">
        <f>IF(OR($A94="",S$4=""),"",$C94*$D94*$E94*K94)</f>
        <v/>
      </c>
    </row>
    <row r="95">
      <c r="A95" s="16" t="n"/>
      <c r="B95" s="16" t="n"/>
      <c r="C95" s="17" t="n"/>
      <c r="D95" s="27" t="n"/>
      <c r="E95" s="27" t="n"/>
      <c r="F95" s="28" t="n"/>
      <c r="G95" s="28" t="n"/>
      <c r="H95" s="28" t="n"/>
      <c r="I95" s="28" t="n"/>
      <c r="J95" s="28" t="n"/>
      <c r="K95" s="28" t="n"/>
      <c r="L95" s="29">
        <f>IF($A95="","",SUMPRODUCT(($F$4:$K$4&lt;&gt;"")*$F95:$K95))</f>
        <v/>
      </c>
      <c r="M95" s="19">
        <f>IF($A95="","",SUM($N95:$S95))</f>
        <v/>
      </c>
      <c r="N95" s="19">
        <f>IF(OR($A95="",N$4=""),"",$C95*$D95*$E95*F95)</f>
        <v/>
      </c>
      <c r="O95" s="19">
        <f>IF(OR($A95="",O$4=""),"",$C95*$D95*$E95*G95)</f>
        <v/>
      </c>
      <c r="P95" s="19">
        <f>IF(OR($A95="",P$4=""),"",$C95*$D95*$E95*H95)</f>
        <v/>
      </c>
      <c r="Q95" s="19">
        <f>IF(OR($A95="",Q$4=""),"",$C95*$D95*$E95*I95)</f>
        <v/>
      </c>
      <c r="R95" s="19">
        <f>IF(OR($A95="",R$4=""),"",$C95*$D95*$E95*J95)</f>
        <v/>
      </c>
      <c r="S95" s="19">
        <f>IF(OR($A95="",S$4=""),"",$C95*$D95*$E95*K95)</f>
        <v/>
      </c>
    </row>
    <row r="96">
      <c r="A96" s="16" t="n"/>
      <c r="B96" s="16" t="n"/>
      <c r="C96" s="17" t="n"/>
      <c r="D96" s="27" t="n"/>
      <c r="E96" s="27" t="n"/>
      <c r="F96" s="28" t="n"/>
      <c r="G96" s="28" t="n"/>
      <c r="H96" s="28" t="n"/>
      <c r="I96" s="28" t="n"/>
      <c r="J96" s="28" t="n"/>
      <c r="K96" s="28" t="n"/>
      <c r="L96" s="29">
        <f>IF($A96="","",SUMPRODUCT(($F$4:$K$4&lt;&gt;"")*$F96:$K96))</f>
        <v/>
      </c>
      <c r="M96" s="19">
        <f>IF($A96="","",SUM($N96:$S96))</f>
        <v/>
      </c>
      <c r="N96" s="19">
        <f>IF(OR($A96="",N$4=""),"",$C96*$D96*$E96*F96)</f>
        <v/>
      </c>
      <c r="O96" s="19">
        <f>IF(OR($A96="",O$4=""),"",$C96*$D96*$E96*G96)</f>
        <v/>
      </c>
      <c r="P96" s="19">
        <f>IF(OR($A96="",P$4=""),"",$C96*$D96*$E96*H96)</f>
        <v/>
      </c>
      <c r="Q96" s="19">
        <f>IF(OR($A96="",Q$4=""),"",$C96*$D96*$E96*I96)</f>
        <v/>
      </c>
      <c r="R96" s="19">
        <f>IF(OR($A96="",R$4=""),"",$C96*$D96*$E96*J96)</f>
        <v/>
      </c>
      <c r="S96" s="19">
        <f>IF(OR($A96="",S$4=""),"",$C96*$D96*$E96*K96)</f>
        <v/>
      </c>
    </row>
    <row r="97">
      <c r="A97" s="16" t="n"/>
      <c r="B97" s="16" t="n"/>
      <c r="C97" s="17" t="n"/>
      <c r="D97" s="27" t="n"/>
      <c r="E97" s="27" t="n"/>
      <c r="F97" s="28" t="n"/>
      <c r="G97" s="28" t="n"/>
      <c r="H97" s="28" t="n"/>
      <c r="I97" s="28" t="n"/>
      <c r="J97" s="28" t="n"/>
      <c r="K97" s="28" t="n"/>
      <c r="L97" s="29">
        <f>IF($A97="","",SUMPRODUCT(($F$4:$K$4&lt;&gt;"")*$F97:$K97))</f>
        <v/>
      </c>
      <c r="M97" s="19">
        <f>IF($A97="","",SUM($N97:$S97))</f>
        <v/>
      </c>
      <c r="N97" s="19">
        <f>IF(OR($A97="",N$4=""),"",$C97*$D97*$E97*F97)</f>
        <v/>
      </c>
      <c r="O97" s="19">
        <f>IF(OR($A97="",O$4=""),"",$C97*$D97*$E97*G97)</f>
        <v/>
      </c>
      <c r="P97" s="19">
        <f>IF(OR($A97="",P$4=""),"",$C97*$D97*$E97*H97)</f>
        <v/>
      </c>
      <c r="Q97" s="19">
        <f>IF(OR($A97="",Q$4=""),"",$C97*$D97*$E97*I97)</f>
        <v/>
      </c>
      <c r="R97" s="19">
        <f>IF(OR($A97="",R$4=""),"",$C97*$D97*$E97*J97)</f>
        <v/>
      </c>
      <c r="S97" s="19">
        <f>IF(OR($A97="",S$4=""),"",$C97*$D97*$E97*K97)</f>
        <v/>
      </c>
    </row>
    <row r="98">
      <c r="A98" s="16" t="n"/>
      <c r="B98" s="16" t="n"/>
      <c r="C98" s="17" t="n"/>
      <c r="D98" s="27" t="n"/>
      <c r="E98" s="27" t="n"/>
      <c r="F98" s="28" t="n"/>
      <c r="G98" s="28" t="n"/>
      <c r="H98" s="28" t="n"/>
      <c r="I98" s="28" t="n"/>
      <c r="J98" s="28" t="n"/>
      <c r="K98" s="28" t="n"/>
      <c r="L98" s="29">
        <f>IF($A98="","",SUMPRODUCT(($F$4:$K$4&lt;&gt;"")*$F98:$K98))</f>
        <v/>
      </c>
      <c r="M98" s="19">
        <f>IF($A98="","",SUM($N98:$S98))</f>
        <v/>
      </c>
      <c r="N98" s="19">
        <f>IF(OR($A98="",N$4=""),"",$C98*$D98*$E98*F98)</f>
        <v/>
      </c>
      <c r="O98" s="19">
        <f>IF(OR($A98="",O$4=""),"",$C98*$D98*$E98*G98)</f>
        <v/>
      </c>
      <c r="P98" s="19">
        <f>IF(OR($A98="",P$4=""),"",$C98*$D98*$E98*H98)</f>
        <v/>
      </c>
      <c r="Q98" s="19">
        <f>IF(OR($A98="",Q$4=""),"",$C98*$D98*$E98*I98)</f>
        <v/>
      </c>
      <c r="R98" s="19">
        <f>IF(OR($A98="",R$4=""),"",$C98*$D98*$E98*J98)</f>
        <v/>
      </c>
      <c r="S98" s="19">
        <f>IF(OR($A98="",S$4=""),"",$C98*$D98*$E98*K98)</f>
        <v/>
      </c>
    </row>
    <row r="99">
      <c r="A99" s="16" t="n"/>
      <c r="B99" s="16" t="n"/>
      <c r="C99" s="17" t="n"/>
      <c r="D99" s="27" t="n"/>
      <c r="E99" s="27" t="n"/>
      <c r="F99" s="28" t="n"/>
      <c r="G99" s="28" t="n"/>
      <c r="H99" s="28" t="n"/>
      <c r="I99" s="28" t="n"/>
      <c r="J99" s="28" t="n"/>
      <c r="K99" s="28" t="n"/>
      <c r="L99" s="29">
        <f>IF($A99="","",SUMPRODUCT(($F$4:$K$4&lt;&gt;"")*$F99:$K99))</f>
        <v/>
      </c>
      <c r="M99" s="19">
        <f>IF($A99="","",SUM($N99:$S99))</f>
        <v/>
      </c>
      <c r="N99" s="19">
        <f>IF(OR($A99="",N$4=""),"",$C99*$D99*$E99*F99)</f>
        <v/>
      </c>
      <c r="O99" s="19">
        <f>IF(OR($A99="",O$4=""),"",$C99*$D99*$E99*G99)</f>
        <v/>
      </c>
      <c r="P99" s="19">
        <f>IF(OR($A99="",P$4=""),"",$C99*$D99*$E99*H99)</f>
        <v/>
      </c>
      <c r="Q99" s="19">
        <f>IF(OR($A99="",Q$4=""),"",$C99*$D99*$E99*I99)</f>
        <v/>
      </c>
      <c r="R99" s="19">
        <f>IF(OR($A99="",R$4=""),"",$C99*$D99*$E99*J99)</f>
        <v/>
      </c>
      <c r="S99" s="19">
        <f>IF(OR($A99="",S$4=""),"",$C99*$D99*$E99*K99)</f>
        <v/>
      </c>
    </row>
    <row r="100">
      <c r="A100" s="16" t="n"/>
      <c r="B100" s="16" t="n"/>
      <c r="C100" s="17" t="n"/>
      <c r="D100" s="27" t="n"/>
      <c r="E100" s="27" t="n"/>
      <c r="F100" s="28" t="n"/>
      <c r="G100" s="28" t="n"/>
      <c r="H100" s="28" t="n"/>
      <c r="I100" s="28" t="n"/>
      <c r="J100" s="28" t="n"/>
      <c r="K100" s="28" t="n"/>
      <c r="L100" s="29">
        <f>IF($A100="","",SUMPRODUCT(($F$4:$K$4&lt;&gt;"")*$F100:$K100))</f>
        <v/>
      </c>
      <c r="M100" s="19">
        <f>IF($A100="","",SUM($N100:$S100))</f>
        <v/>
      </c>
      <c r="N100" s="19">
        <f>IF(OR($A100="",N$4=""),"",$C100*$D100*$E100*F100)</f>
        <v/>
      </c>
      <c r="O100" s="19">
        <f>IF(OR($A100="",O$4=""),"",$C100*$D100*$E100*G100)</f>
        <v/>
      </c>
      <c r="P100" s="19">
        <f>IF(OR($A100="",P$4=""),"",$C100*$D100*$E100*H100)</f>
        <v/>
      </c>
      <c r="Q100" s="19">
        <f>IF(OR($A100="",Q$4=""),"",$C100*$D100*$E100*I100)</f>
        <v/>
      </c>
      <c r="R100" s="19">
        <f>IF(OR($A100="",R$4=""),"",$C100*$D100*$E100*J100)</f>
        <v/>
      </c>
      <c r="S100" s="19">
        <f>IF(OR($A100="",S$4=""),"",$C100*$D100*$E100*K100)</f>
        <v/>
      </c>
    </row>
    <row r="101">
      <c r="A101" s="16" t="n"/>
      <c r="B101" s="16" t="n"/>
      <c r="C101" s="17" t="n"/>
      <c r="D101" s="27" t="n"/>
      <c r="E101" s="27" t="n"/>
      <c r="F101" s="28" t="n"/>
      <c r="G101" s="28" t="n"/>
      <c r="H101" s="28" t="n"/>
      <c r="I101" s="28" t="n"/>
      <c r="J101" s="28" t="n"/>
      <c r="K101" s="28" t="n"/>
      <c r="L101" s="29">
        <f>IF($A101="","",SUMPRODUCT(($F$4:$K$4&lt;&gt;"")*$F101:$K101))</f>
        <v/>
      </c>
      <c r="M101" s="19">
        <f>IF($A101="","",SUM($N101:$S101))</f>
        <v/>
      </c>
      <c r="N101" s="19">
        <f>IF(OR($A101="",N$4=""),"",$C101*$D101*$E101*F101)</f>
        <v/>
      </c>
      <c r="O101" s="19">
        <f>IF(OR($A101="",O$4=""),"",$C101*$D101*$E101*G101)</f>
        <v/>
      </c>
      <c r="P101" s="19">
        <f>IF(OR($A101="",P$4=""),"",$C101*$D101*$E101*H101)</f>
        <v/>
      </c>
      <c r="Q101" s="19">
        <f>IF(OR($A101="",Q$4=""),"",$C101*$D101*$E101*I101)</f>
        <v/>
      </c>
      <c r="R101" s="19">
        <f>IF(OR($A101="",R$4=""),"",$C101*$D101*$E101*J101)</f>
        <v/>
      </c>
      <c r="S101" s="19">
        <f>IF(OR($A101="",S$4=""),"",$C101*$D101*$E101*K101)</f>
        <v/>
      </c>
    </row>
    <row r="102">
      <c r="A102" s="16" t="n"/>
      <c r="B102" s="16" t="n"/>
      <c r="C102" s="17" t="n"/>
      <c r="D102" s="27" t="n"/>
      <c r="E102" s="27" t="n"/>
      <c r="F102" s="28" t="n"/>
      <c r="G102" s="28" t="n"/>
      <c r="H102" s="28" t="n"/>
      <c r="I102" s="28" t="n"/>
      <c r="J102" s="28" t="n"/>
      <c r="K102" s="28" t="n"/>
      <c r="L102" s="29">
        <f>IF($A102="","",SUMPRODUCT(($F$4:$K$4&lt;&gt;"")*$F102:$K102))</f>
        <v/>
      </c>
      <c r="M102" s="19">
        <f>IF($A102="","",SUM($N102:$S102))</f>
        <v/>
      </c>
      <c r="N102" s="19">
        <f>IF(OR($A102="",N$4=""),"",$C102*$D102*$E102*F102)</f>
        <v/>
      </c>
      <c r="O102" s="19">
        <f>IF(OR($A102="",O$4=""),"",$C102*$D102*$E102*G102)</f>
        <v/>
      </c>
      <c r="P102" s="19">
        <f>IF(OR($A102="",P$4=""),"",$C102*$D102*$E102*H102)</f>
        <v/>
      </c>
      <c r="Q102" s="19">
        <f>IF(OR($A102="",Q$4=""),"",$C102*$D102*$E102*I102)</f>
        <v/>
      </c>
      <c r="R102" s="19">
        <f>IF(OR($A102="",R$4=""),"",$C102*$D102*$E102*J102)</f>
        <v/>
      </c>
      <c r="S102" s="19">
        <f>IF(OR($A102="",S$4=""),"",$C102*$D102*$E102*K102)</f>
        <v/>
      </c>
    </row>
    <row r="103">
      <c r="A103" s="16" t="n"/>
      <c r="B103" s="16" t="n"/>
      <c r="C103" s="17" t="n"/>
      <c r="D103" s="27" t="n"/>
      <c r="E103" s="27" t="n"/>
      <c r="F103" s="28" t="n"/>
      <c r="G103" s="28" t="n"/>
      <c r="H103" s="28" t="n"/>
      <c r="I103" s="28" t="n"/>
      <c r="J103" s="28" t="n"/>
      <c r="K103" s="28" t="n"/>
      <c r="L103" s="29">
        <f>IF($A103="","",SUMPRODUCT(($F$4:$K$4&lt;&gt;"")*$F103:$K103))</f>
        <v/>
      </c>
      <c r="M103" s="19">
        <f>IF($A103="","",SUM($N103:$S103))</f>
        <v/>
      </c>
      <c r="N103" s="19">
        <f>IF(OR($A103="",N$4=""),"",$C103*$D103*$E103*F103)</f>
        <v/>
      </c>
      <c r="O103" s="19">
        <f>IF(OR($A103="",O$4=""),"",$C103*$D103*$E103*G103)</f>
        <v/>
      </c>
      <c r="P103" s="19">
        <f>IF(OR($A103="",P$4=""),"",$C103*$D103*$E103*H103)</f>
        <v/>
      </c>
      <c r="Q103" s="19">
        <f>IF(OR($A103="",Q$4=""),"",$C103*$D103*$E103*I103)</f>
        <v/>
      </c>
      <c r="R103" s="19">
        <f>IF(OR($A103="",R$4=""),"",$C103*$D103*$E103*J103)</f>
        <v/>
      </c>
      <c r="S103" s="19">
        <f>IF(OR($A103="",S$4=""),"",$C103*$D103*$E103*K103)</f>
        <v/>
      </c>
    </row>
    <row r="104">
      <c r="A104" s="16" t="n"/>
      <c r="B104" s="16" t="n"/>
      <c r="C104" s="17" t="n"/>
      <c r="D104" s="27" t="n"/>
      <c r="E104" s="27" t="n"/>
      <c r="F104" s="28" t="n"/>
      <c r="G104" s="28" t="n"/>
      <c r="H104" s="28" t="n"/>
      <c r="I104" s="28" t="n"/>
      <c r="J104" s="28" t="n"/>
      <c r="K104" s="28" t="n"/>
      <c r="L104" s="29">
        <f>IF($A104="","",SUMPRODUCT(($F$4:$K$4&lt;&gt;"")*$F104:$K104))</f>
        <v/>
      </c>
      <c r="M104" s="19">
        <f>IF($A104="","",SUM($N104:$S104))</f>
        <v/>
      </c>
      <c r="N104" s="19">
        <f>IF(OR($A104="",N$4=""),"",$C104*$D104*$E104*F104)</f>
        <v/>
      </c>
      <c r="O104" s="19">
        <f>IF(OR($A104="",O$4=""),"",$C104*$D104*$E104*G104)</f>
        <v/>
      </c>
      <c r="P104" s="19">
        <f>IF(OR($A104="",P$4=""),"",$C104*$D104*$E104*H104)</f>
        <v/>
      </c>
      <c r="Q104" s="19">
        <f>IF(OR($A104="",Q$4=""),"",$C104*$D104*$E104*I104)</f>
        <v/>
      </c>
      <c r="R104" s="19">
        <f>IF(OR($A104="",R$4=""),"",$C104*$D104*$E104*J104)</f>
        <v/>
      </c>
      <c r="S104" s="19">
        <f>IF(OR($A104="",S$4=""),"",$C104*$D104*$E104*K104)</f>
        <v/>
      </c>
    </row>
    <row r="106">
      <c r="A106" s="23" t="inlineStr">
        <is>
          <t>合計</t>
        </is>
      </c>
      <c r="B106" s="24" t="n"/>
      <c r="C106" s="24" t="n"/>
      <c r="D106" s="24" t="n"/>
      <c r="E106" s="24" t="n"/>
      <c r="F106" s="30">
        <f>SUM(F5:F104)</f>
        <v/>
      </c>
      <c r="G106" s="30">
        <f>SUM(G5:G104)</f>
        <v/>
      </c>
      <c r="H106" s="30">
        <f>SUM(H5:H104)</f>
        <v/>
      </c>
      <c r="I106" s="30">
        <f>SUM(I5:I104)</f>
        <v/>
      </c>
      <c r="J106" s="30">
        <f>SUM(J5:J104)</f>
        <v/>
      </c>
      <c r="K106" s="30">
        <f>SUM(K5:K104)</f>
        <v/>
      </c>
      <c r="L106" s="30">
        <f>SUM(L5:L104)</f>
        <v/>
      </c>
      <c r="M106" s="21">
        <f>SUM(M5:M104)</f>
        <v/>
      </c>
      <c r="N106" s="21">
        <f>SUM(N5:N104)</f>
        <v/>
      </c>
      <c r="O106" s="21">
        <f>SUM(O5:O104)</f>
        <v/>
      </c>
      <c r="P106" s="21">
        <f>SUM(P5:P104)</f>
        <v/>
      </c>
      <c r="Q106" s="21">
        <f>SUM(Q5:Q104)</f>
        <v/>
      </c>
      <c r="R106" s="21">
        <f>SUM(R5:R104)</f>
        <v/>
      </c>
      <c r="S106" s="21">
        <f>SUM(S5:S104)</f>
        <v/>
      </c>
    </row>
    <row r="108">
      <c r="A108" s="2" t="inlineStr">
        <is>
          <t>※ 項目名は「集計」シートの項目名と同じ文字にしてください（違うと集計に載りません。集計シートの下にチェック欄があります）。</t>
        </is>
      </c>
    </row>
  </sheetData>
  <mergeCells count="2">
    <mergeCell ref="N3:S3"/>
    <mergeCell ref="F3:K3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4" customWidth="1" min="8" max="8"/>
    <col width="14" customWidth="1" min="9" max="9"/>
    <col width="10" customWidth="1" min="10" max="10"/>
    <col width="13" customWidth="1" min="11" max="11"/>
  </cols>
  <sheetData>
    <row r="1">
      <c r="A1" s="1" t="inlineStr">
        <is>
          <t>項目別 集計</t>
        </is>
      </c>
    </row>
    <row r="2">
      <c r="A2" s="2" t="inlineStr">
        <is>
          <t>「割振」シートの明細を項目ごとに集計します。予算（I列）だけ入力してください。</t>
        </is>
      </c>
    </row>
    <row r="3">
      <c r="A3" s="9" t="inlineStr">
        <is>
          <t>項目</t>
        </is>
      </c>
      <c r="B3" s="9">
        <f>設定!$B$21</f>
        <v/>
      </c>
      <c r="C3" s="9">
        <f>設定!$B$22</f>
        <v/>
      </c>
      <c r="D3" s="9">
        <f>設定!$B$23</f>
        <v/>
      </c>
      <c r="E3" s="9">
        <f>設定!$B$24</f>
        <v/>
      </c>
      <c r="F3" s="9">
        <f>設定!$B$25</f>
        <v/>
      </c>
      <c r="G3" s="9">
        <f>設定!$B$26</f>
        <v/>
      </c>
      <c r="H3" s="9" t="inlineStr">
        <is>
          <t>月計</t>
        </is>
      </c>
      <c r="I3" s="9" t="inlineStr">
        <is>
          <t>予算</t>
        </is>
      </c>
      <c r="J3" s="9" t="inlineStr">
        <is>
          <t>予算比</t>
        </is>
      </c>
      <c r="K3" s="9" t="inlineStr">
        <is>
          <t>差額</t>
        </is>
      </c>
    </row>
    <row r="4">
      <c r="A4" s="16" t="inlineStr">
        <is>
          <t>障がい者雇用</t>
        </is>
      </c>
      <c r="B4" s="19">
        <f>IF(OR($A4="",B$3=""),"",SUMIF(割振!$A$5:$A$104,$A4,割振!N$5:N$104))</f>
        <v/>
      </c>
      <c r="C4" s="19">
        <f>IF(OR($A4="",C$3=""),"",SUMIF(割振!$A$5:$A$104,$A4,割振!O$5:O$104))</f>
        <v/>
      </c>
      <c r="D4" s="19">
        <f>IF(OR($A4="",D$3=""),"",SUMIF(割振!$A$5:$A$104,$A4,割振!P$5:P$104))</f>
        <v/>
      </c>
      <c r="E4" s="19">
        <f>IF(OR($A4="",E$3=""),"",SUMIF(割振!$A$5:$A$104,$A4,割振!Q$5:Q$104))</f>
        <v/>
      </c>
      <c r="F4" s="19">
        <f>IF(OR($A4="",F$3=""),"",SUMIF(割振!$A$5:$A$104,$A4,割振!R$5:R$104))</f>
        <v/>
      </c>
      <c r="G4" s="19">
        <f>IF(OR($A4="",G$3=""),"",SUMIF(割振!$A$5:$A$104,$A4,割振!S$5:S$104))</f>
        <v/>
      </c>
      <c r="H4" s="31">
        <f>IF($A4="","",SUM($B4:$G4))</f>
        <v/>
      </c>
      <c r="I4" s="17" t="n"/>
      <c r="J4" s="18">
        <f>IF(OR($A4="",$I4=0),"",$H4/$I4)</f>
        <v/>
      </c>
      <c r="K4" s="19">
        <f>IF(OR($A4="",$I4=0),"",$I4-$H4)</f>
        <v/>
      </c>
    </row>
    <row r="5">
      <c r="A5" s="16" t="inlineStr">
        <is>
          <t>新規採用研修（トレーニー）</t>
        </is>
      </c>
      <c r="B5" s="19">
        <f>IF(OR($A5="",B$3=""),"",SUMIF(割振!$A$5:$A$104,$A5,割振!N$5:N$104))</f>
        <v/>
      </c>
      <c r="C5" s="19">
        <f>IF(OR($A5="",C$3=""),"",SUMIF(割振!$A$5:$A$104,$A5,割振!O$5:O$104))</f>
        <v/>
      </c>
      <c r="D5" s="19">
        <f>IF(OR($A5="",D$3=""),"",SUMIF(割振!$A$5:$A$104,$A5,割振!P$5:P$104))</f>
        <v/>
      </c>
      <c r="E5" s="19">
        <f>IF(OR($A5="",E$3=""),"",SUMIF(割振!$A$5:$A$104,$A5,割振!Q$5:Q$104))</f>
        <v/>
      </c>
      <c r="F5" s="19">
        <f>IF(OR($A5="",F$3=""),"",SUMIF(割振!$A$5:$A$104,$A5,割振!R$5:R$104))</f>
        <v/>
      </c>
      <c r="G5" s="19">
        <f>IF(OR($A5="",G$3=""),"",SUMIF(割振!$A$5:$A$104,$A5,割振!S$5:S$104))</f>
        <v/>
      </c>
      <c r="H5" s="31">
        <f>IF($A5="","",SUM($B5:$G5))</f>
        <v/>
      </c>
      <c r="I5" s="17" t="n"/>
      <c r="J5" s="18">
        <f>IF(OR($A5="",$I5=0),"",$H5/$I5)</f>
        <v/>
      </c>
      <c r="K5" s="19">
        <f>IF(OR($A5="",$I5=0),"",$I5-$H5)</f>
        <v/>
      </c>
    </row>
    <row r="6">
      <c r="A6" s="16" t="inlineStr">
        <is>
          <t>新規採用研修（トレーナー）</t>
        </is>
      </c>
      <c r="B6" s="19">
        <f>IF(OR($A6="",B$3=""),"",SUMIF(割振!$A$5:$A$104,$A6,割振!N$5:N$104))</f>
        <v/>
      </c>
      <c r="C6" s="19">
        <f>IF(OR($A6="",C$3=""),"",SUMIF(割振!$A$5:$A$104,$A6,割振!O$5:O$104))</f>
        <v/>
      </c>
      <c r="D6" s="19">
        <f>IF(OR($A6="",D$3=""),"",SUMIF(割振!$A$5:$A$104,$A6,割振!P$5:P$104))</f>
        <v/>
      </c>
      <c r="E6" s="19">
        <f>IF(OR($A6="",E$3=""),"",SUMIF(割振!$A$5:$A$104,$A6,割振!Q$5:Q$104))</f>
        <v/>
      </c>
      <c r="F6" s="19">
        <f>IF(OR($A6="",F$3=""),"",SUMIF(割振!$A$5:$A$104,$A6,割振!R$5:R$104))</f>
        <v/>
      </c>
      <c r="G6" s="19">
        <f>IF(OR($A6="",G$3=""),"",SUMIF(割振!$A$5:$A$104,$A6,割振!S$5:S$104))</f>
        <v/>
      </c>
      <c r="H6" s="31">
        <f>IF($A6="","",SUM($B6:$G6))</f>
        <v/>
      </c>
      <c r="I6" s="17" t="n"/>
      <c r="J6" s="18">
        <f>IF(OR($A6="",$I6=0),"",$H6/$I6)</f>
        <v/>
      </c>
      <c r="K6" s="19">
        <f>IF(OR($A6="",$I6=0),"",$I6-$H6)</f>
        <v/>
      </c>
    </row>
    <row r="7">
      <c r="A7" s="16" t="inlineStr">
        <is>
          <t>既存スタッフ研修</t>
        </is>
      </c>
      <c r="B7" s="19">
        <f>IF(OR($A7="",B$3=""),"",SUMIF(割振!$A$5:$A$104,$A7,割振!N$5:N$104))</f>
        <v/>
      </c>
      <c r="C7" s="19">
        <f>IF(OR($A7="",C$3=""),"",SUMIF(割振!$A$5:$A$104,$A7,割振!O$5:O$104))</f>
        <v/>
      </c>
      <c r="D7" s="19">
        <f>IF(OR($A7="",D$3=""),"",SUMIF(割振!$A$5:$A$104,$A7,割振!P$5:P$104))</f>
        <v/>
      </c>
      <c r="E7" s="19">
        <f>IF(OR($A7="",E$3=""),"",SUMIF(割振!$A$5:$A$104,$A7,割振!Q$5:Q$104))</f>
        <v/>
      </c>
      <c r="F7" s="19">
        <f>IF(OR($A7="",F$3=""),"",SUMIF(割振!$A$5:$A$104,$A7,割振!R$5:R$104))</f>
        <v/>
      </c>
      <c r="G7" s="19">
        <f>IF(OR($A7="",G$3=""),"",SUMIF(割振!$A$5:$A$104,$A7,割振!S$5:S$104))</f>
        <v/>
      </c>
      <c r="H7" s="31">
        <f>IF($A7="","",SUM($B7:$G7))</f>
        <v/>
      </c>
      <c r="I7" s="17" t="n"/>
      <c r="J7" s="18">
        <f>IF(OR($A7="",$I7=0),"",$H7/$I7)</f>
        <v/>
      </c>
      <c r="K7" s="19">
        <f>IF(OR($A7="",$I7=0),"",$I7-$H7)</f>
        <v/>
      </c>
    </row>
    <row r="8">
      <c r="A8" s="16" t="inlineStr">
        <is>
          <t>防災訓練</t>
        </is>
      </c>
      <c r="B8" s="19">
        <f>IF(OR($A8="",B$3=""),"",SUMIF(割振!$A$5:$A$104,$A8,割振!N$5:N$104))</f>
        <v/>
      </c>
      <c r="C8" s="19">
        <f>IF(OR($A8="",C$3=""),"",SUMIF(割振!$A$5:$A$104,$A8,割振!O$5:O$104))</f>
        <v/>
      </c>
      <c r="D8" s="19">
        <f>IF(OR($A8="",D$3=""),"",SUMIF(割振!$A$5:$A$104,$A8,割振!P$5:P$104))</f>
        <v/>
      </c>
      <c r="E8" s="19">
        <f>IF(OR($A8="",E$3=""),"",SUMIF(割振!$A$5:$A$104,$A8,割振!Q$5:Q$104))</f>
        <v/>
      </c>
      <c r="F8" s="19">
        <f>IF(OR($A8="",F$3=""),"",SUMIF(割振!$A$5:$A$104,$A8,割振!R$5:R$104))</f>
        <v/>
      </c>
      <c r="G8" s="19">
        <f>IF(OR($A8="",G$3=""),"",SUMIF(割振!$A$5:$A$104,$A8,割振!S$5:S$104))</f>
        <v/>
      </c>
      <c r="H8" s="31">
        <f>IF($A8="","",SUM($B8:$G8))</f>
        <v/>
      </c>
      <c r="I8" s="17" t="n"/>
      <c r="J8" s="18">
        <f>IF(OR($A8="",$I8=0),"",$H8/$I8)</f>
        <v/>
      </c>
      <c r="K8" s="19">
        <f>IF(OR($A8="",$I8=0),"",$I8-$H8)</f>
        <v/>
      </c>
    </row>
    <row r="9">
      <c r="A9" s="16" t="inlineStr">
        <is>
          <t>棚卸（予算分）</t>
        </is>
      </c>
      <c r="B9" s="19">
        <f>IF(OR($A9="",B$3=""),"",SUMIF(割振!$A$5:$A$104,$A9,割振!N$5:N$104))</f>
        <v/>
      </c>
      <c r="C9" s="19">
        <f>IF(OR($A9="",C$3=""),"",SUMIF(割振!$A$5:$A$104,$A9,割振!O$5:O$104))</f>
        <v/>
      </c>
      <c r="D9" s="19">
        <f>IF(OR($A9="",D$3=""),"",SUMIF(割振!$A$5:$A$104,$A9,割振!P$5:P$104))</f>
        <v/>
      </c>
      <c r="E9" s="19">
        <f>IF(OR($A9="",E$3=""),"",SUMIF(割振!$A$5:$A$104,$A9,割振!Q$5:Q$104))</f>
        <v/>
      </c>
      <c r="F9" s="19">
        <f>IF(OR($A9="",F$3=""),"",SUMIF(割振!$A$5:$A$104,$A9,割振!R$5:R$104))</f>
        <v/>
      </c>
      <c r="G9" s="19">
        <f>IF(OR($A9="",G$3=""),"",SUMIF(割振!$A$5:$A$104,$A9,割振!S$5:S$104))</f>
        <v/>
      </c>
      <c r="H9" s="31">
        <f>IF($A9="","",SUM($B9:$G9))</f>
        <v/>
      </c>
      <c r="I9" s="17" t="n"/>
      <c r="J9" s="18">
        <f>IF(OR($A9="",$I9=0),"",$H9/$I9)</f>
        <v/>
      </c>
      <c r="K9" s="19">
        <f>IF(OR($A9="",$I9=0),"",$I9-$H9)</f>
        <v/>
      </c>
    </row>
    <row r="10">
      <c r="A10" s="16" t="inlineStr">
        <is>
          <t>ストア準備・返品（予算分）</t>
        </is>
      </c>
      <c r="B10" s="19">
        <f>IF(OR($A10="",B$3=""),"",SUMIF(割振!$A$5:$A$104,$A10,割振!N$5:N$104))</f>
        <v/>
      </c>
      <c r="C10" s="19">
        <f>IF(OR($A10="",C$3=""),"",SUMIF(割振!$A$5:$A$104,$A10,割振!O$5:O$104))</f>
        <v/>
      </c>
      <c r="D10" s="19">
        <f>IF(OR($A10="",D$3=""),"",SUMIF(割振!$A$5:$A$104,$A10,割振!P$5:P$104))</f>
        <v/>
      </c>
      <c r="E10" s="19">
        <f>IF(OR($A10="",E$3=""),"",SUMIF(割振!$A$5:$A$104,$A10,割振!Q$5:Q$104))</f>
        <v/>
      </c>
      <c r="F10" s="19">
        <f>IF(OR($A10="",F$3=""),"",SUMIF(割振!$A$5:$A$104,$A10,割振!R$5:R$104))</f>
        <v/>
      </c>
      <c r="G10" s="19">
        <f>IF(OR($A10="",G$3=""),"",SUMIF(割振!$A$5:$A$104,$A10,割振!S$5:S$104))</f>
        <v/>
      </c>
      <c r="H10" s="31">
        <f>IF($A10="","",SUM($B10:$G10))</f>
        <v/>
      </c>
      <c r="I10" s="17" t="n"/>
      <c r="J10" s="18">
        <f>IF(OR($A10="",$I10=0),"",$H10/$I10)</f>
        <v/>
      </c>
      <c r="K10" s="19">
        <f>IF(OR($A10="",$I10=0),"",$I10-$H10)</f>
        <v/>
      </c>
    </row>
    <row r="11">
      <c r="A11" s="16" t="inlineStr">
        <is>
          <t>ストア準備・返品（追加分）</t>
        </is>
      </c>
      <c r="B11" s="19">
        <f>IF(OR($A11="",B$3=""),"",SUMIF(割振!$A$5:$A$104,$A11,割振!N$5:N$104))</f>
        <v/>
      </c>
      <c r="C11" s="19">
        <f>IF(OR($A11="",C$3=""),"",SUMIF(割振!$A$5:$A$104,$A11,割振!O$5:O$104))</f>
        <v/>
      </c>
      <c r="D11" s="19">
        <f>IF(OR($A11="",D$3=""),"",SUMIF(割振!$A$5:$A$104,$A11,割振!P$5:P$104))</f>
        <v/>
      </c>
      <c r="E11" s="19">
        <f>IF(OR($A11="",E$3=""),"",SUMIF(割振!$A$5:$A$104,$A11,割振!Q$5:Q$104))</f>
        <v/>
      </c>
      <c r="F11" s="19">
        <f>IF(OR($A11="",F$3=""),"",SUMIF(割振!$A$5:$A$104,$A11,割振!R$5:R$104))</f>
        <v/>
      </c>
      <c r="G11" s="19">
        <f>IF(OR($A11="",G$3=""),"",SUMIF(割振!$A$5:$A$104,$A11,割振!S$5:S$104))</f>
        <v/>
      </c>
      <c r="H11" s="31">
        <f>IF($A11="","",SUM($B11:$G11))</f>
        <v/>
      </c>
      <c r="I11" s="17" t="n"/>
      <c r="J11" s="18">
        <f>IF(OR($A11="",$I11=0),"",$H11/$I11)</f>
        <v/>
      </c>
      <c r="K11" s="19">
        <f>IF(OR($A11="",$I11=0),"",$I11-$H11)</f>
        <v/>
      </c>
    </row>
    <row r="12">
      <c r="A12" s="16" t="inlineStr">
        <is>
          <t>その他</t>
        </is>
      </c>
      <c r="B12" s="19">
        <f>IF(OR($A12="",B$3=""),"",SUMIF(割振!$A$5:$A$104,$A12,割振!N$5:N$104))</f>
        <v/>
      </c>
      <c r="C12" s="19">
        <f>IF(OR($A12="",C$3=""),"",SUMIF(割振!$A$5:$A$104,$A12,割振!O$5:O$104))</f>
        <v/>
      </c>
      <c r="D12" s="19">
        <f>IF(OR($A12="",D$3=""),"",SUMIF(割振!$A$5:$A$104,$A12,割振!P$5:P$104))</f>
        <v/>
      </c>
      <c r="E12" s="19">
        <f>IF(OR($A12="",E$3=""),"",SUMIF(割振!$A$5:$A$104,$A12,割振!Q$5:Q$104))</f>
        <v/>
      </c>
      <c r="F12" s="19">
        <f>IF(OR($A12="",F$3=""),"",SUMIF(割振!$A$5:$A$104,$A12,割振!R$5:R$104))</f>
        <v/>
      </c>
      <c r="G12" s="19">
        <f>IF(OR($A12="",G$3=""),"",SUMIF(割振!$A$5:$A$104,$A12,割振!S$5:S$104))</f>
        <v/>
      </c>
      <c r="H12" s="31">
        <f>IF($A12="","",SUM($B12:$G12))</f>
        <v/>
      </c>
      <c r="I12" s="17" t="n"/>
      <c r="J12" s="18">
        <f>IF(OR($A12="",$I12=0),"",$H12/$I12)</f>
        <v/>
      </c>
      <c r="K12" s="19">
        <f>IF(OR($A12="",$I12=0),"",$I12-$H12)</f>
        <v/>
      </c>
    </row>
    <row r="13">
      <c r="A13" s="16" t="inlineStr">
        <is>
          <t>リーダー手当</t>
        </is>
      </c>
      <c r="B13" s="19">
        <f>IF(OR($A13="",B$3=""),"",SUMIF(割振!$A$5:$A$104,$A13,割振!N$5:N$104))</f>
        <v/>
      </c>
      <c r="C13" s="19">
        <f>IF(OR($A13="",C$3=""),"",SUMIF(割振!$A$5:$A$104,$A13,割振!O$5:O$104))</f>
        <v/>
      </c>
      <c r="D13" s="19">
        <f>IF(OR($A13="",D$3=""),"",SUMIF(割振!$A$5:$A$104,$A13,割振!P$5:P$104))</f>
        <v/>
      </c>
      <c r="E13" s="19">
        <f>IF(OR($A13="",E$3=""),"",SUMIF(割振!$A$5:$A$104,$A13,割振!Q$5:Q$104))</f>
        <v/>
      </c>
      <c r="F13" s="19">
        <f>IF(OR($A13="",F$3=""),"",SUMIF(割振!$A$5:$A$104,$A13,割振!R$5:R$104))</f>
        <v/>
      </c>
      <c r="G13" s="19">
        <f>IF(OR($A13="",G$3=""),"",SUMIF(割振!$A$5:$A$104,$A13,割振!S$5:S$104))</f>
        <v/>
      </c>
      <c r="H13" s="31">
        <f>IF($A13="","",SUM($B13:$G13))</f>
        <v/>
      </c>
      <c r="I13" s="17" t="n"/>
      <c r="J13" s="18">
        <f>IF(OR($A13="",$I13=0),"",$H13/$I13)</f>
        <v/>
      </c>
      <c r="K13" s="19">
        <f>IF(OR($A13="",$I13=0),"",$I13-$H13)</f>
        <v/>
      </c>
    </row>
    <row r="14">
      <c r="A14" s="16" t="n"/>
      <c r="B14" s="19">
        <f>IF(OR($A14="",B$3=""),"",SUMIF(割振!$A$5:$A$104,$A14,割振!N$5:N$104))</f>
        <v/>
      </c>
      <c r="C14" s="19">
        <f>IF(OR($A14="",C$3=""),"",SUMIF(割振!$A$5:$A$104,$A14,割振!O$5:O$104))</f>
        <v/>
      </c>
      <c r="D14" s="19">
        <f>IF(OR($A14="",D$3=""),"",SUMIF(割振!$A$5:$A$104,$A14,割振!P$5:P$104))</f>
        <v/>
      </c>
      <c r="E14" s="19">
        <f>IF(OR($A14="",E$3=""),"",SUMIF(割振!$A$5:$A$104,$A14,割振!Q$5:Q$104))</f>
        <v/>
      </c>
      <c r="F14" s="19">
        <f>IF(OR($A14="",F$3=""),"",SUMIF(割振!$A$5:$A$104,$A14,割振!R$5:R$104))</f>
        <v/>
      </c>
      <c r="G14" s="19">
        <f>IF(OR($A14="",G$3=""),"",SUMIF(割振!$A$5:$A$104,$A14,割振!S$5:S$104))</f>
        <v/>
      </c>
      <c r="H14" s="31">
        <f>IF($A14="","",SUM($B14:$G14))</f>
        <v/>
      </c>
      <c r="I14" s="17" t="n"/>
      <c r="J14" s="18">
        <f>IF(OR($A14="",$I14=0),"",$H14/$I14)</f>
        <v/>
      </c>
      <c r="K14" s="19">
        <f>IF(OR($A14="",$I14=0),"",$I14-$H14)</f>
        <v/>
      </c>
    </row>
    <row r="15">
      <c r="A15" s="16" t="n"/>
      <c r="B15" s="19">
        <f>IF(OR($A15="",B$3=""),"",SUMIF(割振!$A$5:$A$104,$A15,割振!N$5:N$104))</f>
        <v/>
      </c>
      <c r="C15" s="19">
        <f>IF(OR($A15="",C$3=""),"",SUMIF(割振!$A$5:$A$104,$A15,割振!O$5:O$104))</f>
        <v/>
      </c>
      <c r="D15" s="19">
        <f>IF(OR($A15="",D$3=""),"",SUMIF(割振!$A$5:$A$104,$A15,割振!P$5:P$104))</f>
        <v/>
      </c>
      <c r="E15" s="19">
        <f>IF(OR($A15="",E$3=""),"",SUMIF(割振!$A$5:$A$104,$A15,割振!Q$5:Q$104))</f>
        <v/>
      </c>
      <c r="F15" s="19">
        <f>IF(OR($A15="",F$3=""),"",SUMIF(割振!$A$5:$A$104,$A15,割振!R$5:R$104))</f>
        <v/>
      </c>
      <c r="G15" s="19">
        <f>IF(OR($A15="",G$3=""),"",SUMIF(割振!$A$5:$A$104,$A15,割振!S$5:S$104))</f>
        <v/>
      </c>
      <c r="H15" s="31">
        <f>IF($A15="","",SUM($B15:$G15))</f>
        <v/>
      </c>
      <c r="I15" s="17" t="n"/>
      <c r="J15" s="18">
        <f>IF(OR($A15="",$I15=0),"",$H15/$I15)</f>
        <v/>
      </c>
      <c r="K15" s="19">
        <f>IF(OR($A15="",$I15=0),"",$I15-$H15)</f>
        <v/>
      </c>
    </row>
    <row r="16">
      <c r="A16" s="16" t="n"/>
      <c r="B16" s="19">
        <f>IF(OR($A16="",B$3=""),"",SUMIF(割振!$A$5:$A$104,$A16,割振!N$5:N$104))</f>
        <v/>
      </c>
      <c r="C16" s="19">
        <f>IF(OR($A16="",C$3=""),"",SUMIF(割振!$A$5:$A$104,$A16,割振!O$5:O$104))</f>
        <v/>
      </c>
      <c r="D16" s="19">
        <f>IF(OR($A16="",D$3=""),"",SUMIF(割振!$A$5:$A$104,$A16,割振!P$5:P$104))</f>
        <v/>
      </c>
      <c r="E16" s="19">
        <f>IF(OR($A16="",E$3=""),"",SUMIF(割振!$A$5:$A$104,$A16,割振!Q$5:Q$104))</f>
        <v/>
      </c>
      <c r="F16" s="19">
        <f>IF(OR($A16="",F$3=""),"",SUMIF(割振!$A$5:$A$104,$A16,割振!R$5:R$104))</f>
        <v/>
      </c>
      <c r="G16" s="19">
        <f>IF(OR($A16="",G$3=""),"",SUMIF(割振!$A$5:$A$104,$A16,割振!S$5:S$104))</f>
        <v/>
      </c>
      <c r="H16" s="31">
        <f>IF($A16="","",SUM($B16:$G16))</f>
        <v/>
      </c>
      <c r="I16" s="17" t="n"/>
      <c r="J16" s="18">
        <f>IF(OR($A16="",$I16=0),"",$H16/$I16)</f>
        <v/>
      </c>
      <c r="K16" s="19">
        <f>IF(OR($A16="",$I16=0),"",$I16-$H16)</f>
        <v/>
      </c>
    </row>
    <row r="17">
      <c r="A17" s="16" t="n"/>
      <c r="B17" s="19">
        <f>IF(OR($A17="",B$3=""),"",SUMIF(割振!$A$5:$A$104,$A17,割振!N$5:N$104))</f>
        <v/>
      </c>
      <c r="C17" s="19">
        <f>IF(OR($A17="",C$3=""),"",SUMIF(割振!$A$5:$A$104,$A17,割振!O$5:O$104))</f>
        <v/>
      </c>
      <c r="D17" s="19">
        <f>IF(OR($A17="",D$3=""),"",SUMIF(割振!$A$5:$A$104,$A17,割振!P$5:P$104))</f>
        <v/>
      </c>
      <c r="E17" s="19">
        <f>IF(OR($A17="",E$3=""),"",SUMIF(割振!$A$5:$A$104,$A17,割振!Q$5:Q$104))</f>
        <v/>
      </c>
      <c r="F17" s="19">
        <f>IF(OR($A17="",F$3=""),"",SUMIF(割振!$A$5:$A$104,$A17,割振!R$5:R$104))</f>
        <v/>
      </c>
      <c r="G17" s="19">
        <f>IF(OR($A17="",G$3=""),"",SUMIF(割振!$A$5:$A$104,$A17,割振!S$5:S$104))</f>
        <v/>
      </c>
      <c r="H17" s="31">
        <f>IF($A17="","",SUM($B17:$G17))</f>
        <v/>
      </c>
      <c r="I17" s="17" t="n"/>
      <c r="J17" s="18">
        <f>IF(OR($A17="",$I17=0),"",$H17/$I17)</f>
        <v/>
      </c>
      <c r="K17" s="19">
        <f>IF(OR($A17="",$I17=0),"",$I17-$H17)</f>
        <v/>
      </c>
    </row>
    <row r="18">
      <c r="A18" s="16" t="n"/>
      <c r="B18" s="19">
        <f>IF(OR($A18="",B$3=""),"",SUMIF(割振!$A$5:$A$104,$A18,割振!N$5:N$104))</f>
        <v/>
      </c>
      <c r="C18" s="19">
        <f>IF(OR($A18="",C$3=""),"",SUMIF(割振!$A$5:$A$104,$A18,割振!O$5:O$104))</f>
        <v/>
      </c>
      <c r="D18" s="19">
        <f>IF(OR($A18="",D$3=""),"",SUMIF(割振!$A$5:$A$104,$A18,割振!P$5:P$104))</f>
        <v/>
      </c>
      <c r="E18" s="19">
        <f>IF(OR($A18="",E$3=""),"",SUMIF(割振!$A$5:$A$104,$A18,割振!Q$5:Q$104))</f>
        <v/>
      </c>
      <c r="F18" s="19">
        <f>IF(OR($A18="",F$3=""),"",SUMIF(割振!$A$5:$A$104,$A18,割振!R$5:R$104))</f>
        <v/>
      </c>
      <c r="G18" s="19">
        <f>IF(OR($A18="",G$3=""),"",SUMIF(割振!$A$5:$A$104,$A18,割振!S$5:S$104))</f>
        <v/>
      </c>
      <c r="H18" s="31">
        <f>IF($A18="","",SUM($B18:$G18))</f>
        <v/>
      </c>
      <c r="I18" s="17" t="n"/>
      <c r="J18" s="18">
        <f>IF(OR($A18="",$I18=0),"",$H18/$I18)</f>
        <v/>
      </c>
      <c r="K18" s="19">
        <f>IF(OR($A18="",$I18=0),"",$I18-$H18)</f>
        <v/>
      </c>
    </row>
    <row r="20">
      <c r="A20" s="12" t="inlineStr">
        <is>
          <t>有給休暇</t>
        </is>
      </c>
      <c r="B20" s="19">
        <f>'有休・更衣'!$E$8</f>
        <v/>
      </c>
      <c r="C20" s="19">
        <f>'有休・更衣'!$E$9</f>
        <v/>
      </c>
      <c r="D20" s="19">
        <f>'有休・更衣'!$E$10</f>
        <v/>
      </c>
      <c r="E20" s="19">
        <f>'有休・更衣'!$E$11</f>
        <v/>
      </c>
      <c r="F20" s="19">
        <f>'有休・更衣'!$E$12</f>
        <v/>
      </c>
      <c r="G20" s="19">
        <f>'有休・更衣'!$E$13</f>
        <v/>
      </c>
      <c r="H20" s="31">
        <f>SUM($B20:$G20)</f>
        <v/>
      </c>
      <c r="I20" s="19">
        <f>'有休・更衣'!$B$5</f>
        <v/>
      </c>
      <c r="J20" s="18">
        <f>IF($I20=0,"",$H20/$I20)</f>
        <v/>
      </c>
      <c r="K20" s="19">
        <f>IF($I20=0,"",$I20-$H20)</f>
        <v/>
      </c>
    </row>
    <row r="21">
      <c r="A21" s="12" t="inlineStr">
        <is>
          <t>更衣時間</t>
        </is>
      </c>
      <c r="B21" s="19">
        <f>'有休・更衣'!$D$27</f>
        <v/>
      </c>
      <c r="C21" s="19">
        <f>'有休・更衣'!$D$28</f>
        <v/>
      </c>
      <c r="D21" s="19">
        <f>'有休・更衣'!$D$29</f>
        <v/>
      </c>
      <c r="E21" s="19">
        <f>'有休・更衣'!$D$30</f>
        <v/>
      </c>
      <c r="F21" s="19">
        <f>'有休・更衣'!$D$31</f>
        <v/>
      </c>
      <c r="G21" s="19">
        <f>'有休・更衣'!$D$32</f>
        <v/>
      </c>
      <c r="H21" s="31">
        <f>SUM($B21:$G21)</f>
        <v/>
      </c>
      <c r="I21" s="19">
        <f>'有休・更衣'!$B$34</f>
        <v/>
      </c>
      <c r="J21" s="18">
        <f>IF($I21=0,"",$H21/$I21)</f>
        <v/>
      </c>
      <c r="K21" s="19">
        <f>IF($I21=0,"",$I21-$H21)</f>
        <v/>
      </c>
    </row>
    <row r="23">
      <c r="A23" s="23" t="inlineStr">
        <is>
          <t>合計（有休を除く）</t>
        </is>
      </c>
      <c r="B23" s="21">
        <f>IF(B$3="","",SUM(B$4:B$18)+B21)</f>
        <v/>
      </c>
      <c r="C23" s="21">
        <f>IF(C$3="","",SUM(C$4:C$18)+C21)</f>
        <v/>
      </c>
      <c r="D23" s="21">
        <f>IF(D$3="","",SUM(D$4:D$18)+D21)</f>
        <v/>
      </c>
      <c r="E23" s="21">
        <f>IF(E$3="","",SUM(E$4:E$18)+E21)</f>
        <v/>
      </c>
      <c r="F23" s="21">
        <f>IF(F$3="","",SUM(F$4:F$18)+F21)</f>
        <v/>
      </c>
      <c r="G23" s="21">
        <f>IF(G$3="","",SUM(G$4:G$18)+G21)</f>
        <v/>
      </c>
      <c r="H23" s="21">
        <f>SUM($B23:$G23)</f>
        <v/>
      </c>
      <c r="I23" s="21">
        <f>SUM($I$4:$I$18)+$I21</f>
        <v/>
      </c>
      <c r="J23" s="22">
        <f>IF($I23=0,"",$H23/$I23)</f>
        <v/>
      </c>
      <c r="K23" s="21">
        <f>IF($I23=0,"",$I23-$H23)</f>
        <v/>
      </c>
    </row>
    <row r="25">
      <c r="A25" s="3" t="inlineStr">
        <is>
          <t>■ チェック</t>
        </is>
      </c>
    </row>
    <row r="26">
      <c r="A26" s="6" t="inlineStr">
        <is>
          <t>割振シートの金額計</t>
        </is>
      </c>
      <c r="B26" s="19">
        <f>割振!$M$106</f>
        <v/>
      </c>
    </row>
    <row r="27">
      <c r="A27" s="6" t="inlineStr">
        <is>
          <t>上の表の項目合計</t>
        </is>
      </c>
      <c r="B27" s="19">
        <f>SUM($H$4:$H$18)</f>
        <v/>
      </c>
    </row>
    <row r="28">
      <c r="A28" s="4" t="inlineStr">
        <is>
          <t>差（集計に載っていない金額）</t>
        </is>
      </c>
      <c r="B28" s="31">
        <f>$B$26-$B$27</f>
        <v/>
      </c>
      <c r="C28" s="2" t="inlineStr">
        <is>
          <t>← 0 以外なら、割振シートの項目名がこの表の項目名と一致していません</t>
        </is>
      </c>
    </row>
  </sheetData>
  <pageMargins left="0.75" right="0.75" top="1" bottom="1" header="0.5" footer="0.5"/>
  <pageSetup orientation="landscape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28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4" customWidth="1" min="8" max="8"/>
  </cols>
  <sheetData>
    <row r="1">
      <c r="A1" s="1" t="inlineStr">
        <is>
          <t>接客部門 週別・部門別割振</t>
        </is>
      </c>
    </row>
    <row r="2">
      <c r="A2" s="2" t="inlineStr">
        <is>
          <t>月間予算を、週別動員の構成比と部門構成比で自動的に割り振ります。</t>
        </is>
      </c>
    </row>
    <row r="3">
      <c r="A3" s="4" t="inlineStr">
        <is>
          <t>月間予算</t>
        </is>
      </c>
      <c r="B3" s="17" t="n">
        <v>22210643</v>
      </c>
      <c r="C3" s="2" t="inlineStr">
        <is>
          <t>← 接客部門の月間予算を入力</t>
        </is>
      </c>
    </row>
    <row r="5">
      <c r="A5" s="9" t="inlineStr">
        <is>
          <t>項目</t>
        </is>
      </c>
      <c r="B5" s="9">
        <f>設定!$B$21</f>
        <v/>
      </c>
      <c r="C5" s="9">
        <f>設定!$B$22</f>
        <v/>
      </c>
      <c r="D5" s="9">
        <f>設定!$B$23</f>
        <v/>
      </c>
      <c r="E5" s="9">
        <f>設定!$B$24</f>
        <v/>
      </c>
      <c r="F5" s="9">
        <f>設定!$B$25</f>
        <v/>
      </c>
      <c r="G5" s="9">
        <f>設定!$B$26</f>
        <v/>
      </c>
      <c r="H5" s="9" t="inlineStr">
        <is>
          <t>月計</t>
        </is>
      </c>
    </row>
    <row r="6">
      <c r="A6" s="14" t="inlineStr">
        <is>
          <t>週予算</t>
        </is>
      </c>
      <c r="B6" s="31">
        <f>IF(B$5="","",$B$3*動員!$K$4)</f>
        <v/>
      </c>
      <c r="C6" s="31">
        <f>IF(C$5="","",$B$3*動員!$K$5)</f>
        <v/>
      </c>
      <c r="D6" s="31">
        <f>IF(D$5="","",$B$3*動員!$K$6)</f>
        <v/>
      </c>
      <c r="E6" s="31">
        <f>IF(E$5="","",$B$3*動員!$K$7)</f>
        <v/>
      </c>
      <c r="F6" s="31">
        <f>IF(F$5="","",$B$3*動員!$K$8)</f>
        <v/>
      </c>
      <c r="G6" s="31">
        <f>IF(G$5="","",$B$3*動員!$K$9)</f>
        <v/>
      </c>
      <c r="H6" s="31">
        <f>SUM(B6:G6)</f>
        <v/>
      </c>
    </row>
    <row r="8">
      <c r="A8" s="3" t="inlineStr">
        <is>
          <t>■ 予算配分（週予算 × 部門構成比）</t>
        </is>
      </c>
    </row>
    <row r="9">
      <c r="A9" s="12" t="inlineStr">
        <is>
          <t>FLOOR</t>
        </is>
      </c>
      <c r="B9" s="19">
        <f>IF(B$5="","",B$6*設定!$B$29)</f>
        <v/>
      </c>
      <c r="C9" s="19">
        <f>IF(C$5="","",C$6*設定!$B$29)</f>
        <v/>
      </c>
      <c r="D9" s="19">
        <f>IF(D$5="","",D$6*設定!$B$29)</f>
        <v/>
      </c>
      <c r="E9" s="19">
        <f>IF(E$5="","",E$6*設定!$B$29)</f>
        <v/>
      </c>
      <c r="F9" s="19">
        <f>IF(F$5="","",F$6*設定!$B$29)</f>
        <v/>
      </c>
      <c r="G9" s="19">
        <f>IF(G$5="","",G$6*設定!$B$29)</f>
        <v/>
      </c>
      <c r="H9" s="19">
        <f>SUM(B9:G9)</f>
        <v/>
      </c>
    </row>
    <row r="10">
      <c r="A10" s="12" t="inlineStr">
        <is>
          <t>CONCESSION</t>
        </is>
      </c>
      <c r="B10" s="19">
        <f>IF(B$5="","",B$6*設定!$B$30)</f>
        <v/>
      </c>
      <c r="C10" s="19">
        <f>IF(C$5="","",C$6*設定!$B$30)</f>
        <v/>
      </c>
      <c r="D10" s="19">
        <f>IF(D$5="","",D$6*設定!$B$30)</f>
        <v/>
      </c>
      <c r="E10" s="19">
        <f>IF(E$5="","",E$6*設定!$B$30)</f>
        <v/>
      </c>
      <c r="F10" s="19">
        <f>IF(F$5="","",F$6*設定!$B$30)</f>
        <v/>
      </c>
      <c r="G10" s="19">
        <f>IF(G$5="","",G$6*設定!$B$30)</f>
        <v/>
      </c>
      <c r="H10" s="19">
        <f>SUM(B10:G10)</f>
        <v/>
      </c>
    </row>
    <row r="11">
      <c r="A11" s="12" t="inlineStr">
        <is>
          <t>STORE</t>
        </is>
      </c>
      <c r="B11" s="19">
        <f>IF(B$5="","",B$6*設定!$B$31)</f>
        <v/>
      </c>
      <c r="C11" s="19">
        <f>IF(C$5="","",C$6*設定!$B$31)</f>
        <v/>
      </c>
      <c r="D11" s="19">
        <f>IF(D$5="","",D$6*設定!$B$31)</f>
        <v/>
      </c>
      <c r="E11" s="19">
        <f>IF(E$5="","",E$6*設定!$B$31)</f>
        <v/>
      </c>
      <c r="F11" s="19">
        <f>IF(F$5="","",F$6*設定!$B$31)</f>
        <v/>
      </c>
      <c r="G11" s="19">
        <f>IF(G$5="","",G$6*設定!$B$31)</f>
        <v/>
      </c>
      <c r="H11" s="19">
        <f>SUM(B11:G11)</f>
        <v/>
      </c>
    </row>
    <row r="12">
      <c r="A12" s="12" t="inlineStr">
        <is>
          <t>OFFICE</t>
        </is>
      </c>
      <c r="B12" s="19">
        <f>IF(B$5="","",B$6*設定!$B$32)</f>
        <v/>
      </c>
      <c r="C12" s="19">
        <f>IF(C$5="","",C$6*設定!$B$32)</f>
        <v/>
      </c>
      <c r="D12" s="19">
        <f>IF(D$5="","",D$6*設定!$B$32)</f>
        <v/>
      </c>
      <c r="E12" s="19">
        <f>IF(E$5="","",E$6*設定!$B$32)</f>
        <v/>
      </c>
      <c r="F12" s="19">
        <f>IF(F$5="","",F$6*設定!$B$32)</f>
        <v/>
      </c>
      <c r="G12" s="19">
        <f>IF(G$5="","",G$6*設定!$B$32)</f>
        <v/>
      </c>
      <c r="H12" s="19">
        <f>SUM(B12:G12)</f>
        <v/>
      </c>
    </row>
    <row r="14">
      <c r="A14" s="3" t="inlineStr">
        <is>
          <t>■ 予算外（ミーティング・棚卸・返品など）</t>
        </is>
      </c>
    </row>
    <row r="15">
      <c r="A15" s="12" t="inlineStr">
        <is>
          <t>FLOOR</t>
        </is>
      </c>
      <c r="B15" s="17" t="n"/>
      <c r="C15" s="17" t="n"/>
      <c r="D15" s="17" t="n"/>
      <c r="E15" s="17" t="n"/>
      <c r="F15" s="17" t="n"/>
      <c r="G15" s="17" t="n"/>
      <c r="H15" s="19">
        <f>SUM(B15:G15)</f>
        <v/>
      </c>
    </row>
    <row r="16">
      <c r="A16" s="12" t="inlineStr">
        <is>
          <t>CONCESSION</t>
        </is>
      </c>
      <c r="B16" s="17" t="n"/>
      <c r="C16" s="17" t="n"/>
      <c r="D16" s="17" t="n"/>
      <c r="E16" s="17" t="n"/>
      <c r="F16" s="17" t="n"/>
      <c r="G16" s="17" t="n"/>
      <c r="H16" s="19">
        <f>SUM(B16:G16)</f>
        <v/>
      </c>
    </row>
    <row r="17">
      <c r="A17" s="12" t="inlineStr">
        <is>
          <t>STORE</t>
        </is>
      </c>
      <c r="B17" s="17" t="n"/>
      <c r="C17" s="17" t="n"/>
      <c r="D17" s="17" t="n"/>
      <c r="E17" s="17" t="n"/>
      <c r="F17" s="17" t="n"/>
      <c r="G17" s="17" t="n"/>
      <c r="H17" s="19">
        <f>SUM(B17:G17)</f>
        <v/>
      </c>
    </row>
    <row r="18">
      <c r="A18" s="12" t="inlineStr">
        <is>
          <t>OFFICE</t>
        </is>
      </c>
      <c r="B18" s="17" t="n"/>
      <c r="C18" s="17" t="n"/>
      <c r="D18" s="17" t="n"/>
      <c r="E18" s="17" t="n"/>
      <c r="F18" s="17" t="n"/>
      <c r="G18" s="17" t="n"/>
      <c r="H18" s="19">
        <f>SUM(B18:G18)</f>
        <v/>
      </c>
    </row>
    <row r="20">
      <c r="A20" s="3" t="inlineStr">
        <is>
          <t>■ 合計（予算配分＋予算外）</t>
        </is>
      </c>
    </row>
    <row r="21">
      <c r="A21" s="14" t="inlineStr">
        <is>
          <t>FLOOR</t>
        </is>
      </c>
      <c r="B21" s="19">
        <f>IF(B$5="","",B9+B15)</f>
        <v/>
      </c>
      <c r="C21" s="19">
        <f>IF(C$5="","",C9+C15)</f>
        <v/>
      </c>
      <c r="D21" s="19">
        <f>IF(D$5="","",D9+D15)</f>
        <v/>
      </c>
      <c r="E21" s="19">
        <f>IF(E$5="","",E9+E15)</f>
        <v/>
      </c>
      <c r="F21" s="19">
        <f>IF(F$5="","",F9+F15)</f>
        <v/>
      </c>
      <c r="G21" s="19">
        <f>IF(G$5="","",G9+G15)</f>
        <v/>
      </c>
      <c r="H21" s="19">
        <f>SUM(B21:G21)</f>
        <v/>
      </c>
    </row>
    <row r="22">
      <c r="A22" s="14" t="inlineStr">
        <is>
          <t>CONCESSION</t>
        </is>
      </c>
      <c r="B22" s="19">
        <f>IF(B$5="","",B10+B16)</f>
        <v/>
      </c>
      <c r="C22" s="19">
        <f>IF(C$5="","",C10+C16)</f>
        <v/>
      </c>
      <c r="D22" s="19">
        <f>IF(D$5="","",D10+D16)</f>
        <v/>
      </c>
      <c r="E22" s="19">
        <f>IF(E$5="","",E10+E16)</f>
        <v/>
      </c>
      <c r="F22" s="19">
        <f>IF(F$5="","",F10+F16)</f>
        <v/>
      </c>
      <c r="G22" s="19">
        <f>IF(G$5="","",G10+G16)</f>
        <v/>
      </c>
      <c r="H22" s="19">
        <f>SUM(B22:G22)</f>
        <v/>
      </c>
    </row>
    <row r="23">
      <c r="A23" s="14" t="inlineStr">
        <is>
          <t>STORE</t>
        </is>
      </c>
      <c r="B23" s="19">
        <f>IF(B$5="","",B11+B17)</f>
        <v/>
      </c>
      <c r="C23" s="19">
        <f>IF(C$5="","",C11+C17)</f>
        <v/>
      </c>
      <c r="D23" s="19">
        <f>IF(D$5="","",D11+D17)</f>
        <v/>
      </c>
      <c r="E23" s="19">
        <f>IF(E$5="","",E11+E17)</f>
        <v/>
      </c>
      <c r="F23" s="19">
        <f>IF(F$5="","",F11+F17)</f>
        <v/>
      </c>
      <c r="G23" s="19">
        <f>IF(G$5="","",G11+G17)</f>
        <v/>
      </c>
      <c r="H23" s="19">
        <f>SUM(B23:G23)</f>
        <v/>
      </c>
    </row>
    <row r="24">
      <c r="A24" s="14" t="inlineStr">
        <is>
          <t>OFFICE</t>
        </is>
      </c>
      <c r="B24" s="19">
        <f>IF(B$5="","",B12+B18)</f>
        <v/>
      </c>
      <c r="C24" s="19">
        <f>IF(C$5="","",C12+C18)</f>
        <v/>
      </c>
      <c r="D24" s="19">
        <f>IF(D$5="","",D12+D18)</f>
        <v/>
      </c>
      <c r="E24" s="19">
        <f>IF(E$5="","",E12+E18)</f>
        <v/>
      </c>
      <c r="F24" s="19">
        <f>IF(F$5="","",F12+F18)</f>
        <v/>
      </c>
      <c r="G24" s="19">
        <f>IF(G$5="","",G12+G18)</f>
        <v/>
      </c>
      <c r="H24" s="19">
        <f>SUM(B24:G24)</f>
        <v/>
      </c>
    </row>
    <row r="25">
      <c r="A25" s="23" t="inlineStr">
        <is>
          <t>週合計</t>
        </is>
      </c>
      <c r="B25" s="21">
        <f>IF(B$5="","",SUM(B21:B24))</f>
        <v/>
      </c>
      <c r="C25" s="21">
        <f>IF(C$5="","",SUM(C21:C24))</f>
        <v/>
      </c>
      <c r="D25" s="21">
        <f>IF(D$5="","",SUM(D21:D24))</f>
        <v/>
      </c>
      <c r="E25" s="21">
        <f>IF(E$5="","",SUM(E21:E24))</f>
        <v/>
      </c>
      <c r="F25" s="21">
        <f>IF(F$5="","",SUM(F21:F24))</f>
        <v/>
      </c>
      <c r="G25" s="21">
        <f>IF(G$5="","",SUM(G21:G24))</f>
        <v/>
      </c>
      <c r="H25" s="21">
        <f>SUM(B25:G25)</f>
        <v/>
      </c>
    </row>
    <row r="27">
      <c r="A27" s="4" t="inlineStr">
        <is>
          <t>予算比</t>
        </is>
      </c>
      <c r="B27" s="32">
        <f>IF($B$3=0,"",$H$25/$B$3)</f>
        <v/>
      </c>
    </row>
    <row r="28">
      <c r="A28" s="4" t="inlineStr">
        <is>
          <t>差額（予算 − 合計）</t>
        </is>
      </c>
      <c r="B28" s="31">
        <f>IF($B$3=0,"",$B$3-$H$25)</f>
        <v/>
      </c>
    </row>
  </sheetData>
  <pageMargins left="0.75" right="0.75" top="1" bottom="1" header="0.5" footer="0.5"/>
  <pageSetup orientation="landscape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35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0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有休・更衣時間</t>
        </is>
      </c>
    </row>
    <row r="2">
      <c r="A2" s="2" t="inlineStr">
        <is>
          <t>人数を入力すると金額が出ます。有休は予算との差額を各週へ均等に振り分けます。</t>
        </is>
      </c>
    </row>
    <row r="3">
      <c r="A3" s="4" t="inlineStr">
        <is>
          <t>有休単価</t>
        </is>
      </c>
      <c r="B3" s="17" t="n">
        <v>979</v>
      </c>
    </row>
    <row r="4">
      <c r="A4" s="4" t="inlineStr">
        <is>
          <t>時間</t>
        </is>
      </c>
      <c r="B4" s="27" t="n">
        <v>5</v>
      </c>
    </row>
    <row r="5">
      <c r="A5" s="4" t="inlineStr">
        <is>
          <t>予算</t>
        </is>
      </c>
      <c r="B5" s="17" t="n">
        <v>325789</v>
      </c>
    </row>
    <row r="7">
      <c r="A7" s="9" t="inlineStr">
        <is>
          <t>週</t>
        </is>
      </c>
      <c r="B7" s="9" t="inlineStr">
        <is>
          <t>WEEK</t>
        </is>
      </c>
      <c r="C7" s="9" t="inlineStr">
        <is>
          <t>人数</t>
        </is>
      </c>
      <c r="D7" s="9" t="inlineStr">
        <is>
          <t>金額</t>
        </is>
      </c>
      <c r="E7" s="9" t="inlineStr">
        <is>
          <t>補正後</t>
        </is>
      </c>
      <c r="F7" s="9" t="inlineStr">
        <is>
          <t>1日あたり</t>
        </is>
      </c>
    </row>
    <row r="8">
      <c r="A8" s="10" t="n">
        <v>1</v>
      </c>
      <c r="B8" s="10">
        <f>設定!$B$21</f>
        <v/>
      </c>
      <c r="C8" s="27" t="n"/>
      <c r="D8" s="19">
        <f>IF($B8="","",$B$3*$B$4*$C8)</f>
        <v/>
      </c>
      <c r="E8" s="19">
        <f>IF($B8="","",$D8+$B$16)</f>
        <v/>
      </c>
      <c r="F8" s="19">
        <f>IF(OR($B8="",$C8=0),"",$E8/$C8)</f>
        <v/>
      </c>
    </row>
    <row r="9">
      <c r="A9" s="10" t="n">
        <v>2</v>
      </c>
      <c r="B9" s="10">
        <f>設定!$B$22</f>
        <v/>
      </c>
      <c r="C9" s="27" t="n"/>
      <c r="D9" s="19">
        <f>IF($B9="","",$B$3*$B$4*$C9)</f>
        <v/>
      </c>
      <c r="E9" s="19">
        <f>IF($B9="","",$D9+$B$16)</f>
        <v/>
      </c>
      <c r="F9" s="19">
        <f>IF(OR($B9="",$C9=0),"",$E9/$C9)</f>
        <v/>
      </c>
    </row>
    <row r="10">
      <c r="A10" s="10" t="n">
        <v>3</v>
      </c>
      <c r="B10" s="10">
        <f>設定!$B$23</f>
        <v/>
      </c>
      <c r="C10" s="27" t="n"/>
      <c r="D10" s="19">
        <f>IF($B10="","",$B$3*$B$4*$C10)</f>
        <v/>
      </c>
      <c r="E10" s="19">
        <f>IF($B10="","",$D10+$B$16)</f>
        <v/>
      </c>
      <c r="F10" s="19">
        <f>IF(OR($B10="",$C10=0),"",$E10/$C10)</f>
        <v/>
      </c>
    </row>
    <row r="11">
      <c r="A11" s="10" t="n">
        <v>4</v>
      </c>
      <c r="B11" s="10">
        <f>設定!$B$24</f>
        <v/>
      </c>
      <c r="C11" s="27" t="n"/>
      <c r="D11" s="19">
        <f>IF($B11="","",$B$3*$B$4*$C11)</f>
        <v/>
      </c>
      <c r="E11" s="19">
        <f>IF($B11="","",$D11+$B$16)</f>
        <v/>
      </c>
      <c r="F11" s="19">
        <f>IF(OR($B11="",$C11=0),"",$E11/$C11)</f>
        <v/>
      </c>
    </row>
    <row r="12">
      <c r="A12" s="10" t="n">
        <v>5</v>
      </c>
      <c r="B12" s="10">
        <f>設定!$B$25</f>
        <v/>
      </c>
      <c r="C12" s="27" t="n"/>
      <c r="D12" s="19">
        <f>IF($B12="","",$B$3*$B$4*$C12)</f>
        <v/>
      </c>
      <c r="E12" s="19">
        <f>IF($B12="","",$D12+$B$16)</f>
        <v/>
      </c>
      <c r="F12" s="19">
        <f>IF(OR($B12="",$C12=0),"",$E12/$C12)</f>
        <v/>
      </c>
    </row>
    <row r="13">
      <c r="A13" s="10" t="n">
        <v>6</v>
      </c>
      <c r="B13" s="10">
        <f>設定!$B$26</f>
        <v/>
      </c>
      <c r="C13" s="27" t="n"/>
      <c r="D13" s="19">
        <f>IF($B13="","",$B$3*$B$4*$C13)</f>
        <v/>
      </c>
      <c r="E13" s="19">
        <f>IF($B13="","",$D13+$B$16)</f>
        <v/>
      </c>
      <c r="F13" s="19">
        <f>IF(OR($B13="",$C13=0),"",$E13/$C13)</f>
        <v/>
      </c>
    </row>
    <row r="14">
      <c r="A14" s="23" t="inlineStr">
        <is>
          <t>合計</t>
        </is>
      </c>
      <c r="B14" s="24" t="n"/>
      <c r="C14" s="33">
        <f>SUM(C8:C13)</f>
        <v/>
      </c>
      <c r="D14" s="21">
        <f>SUM(D8:D13)</f>
        <v/>
      </c>
      <c r="E14" s="21">
        <f>SUM(E8:E13)</f>
        <v/>
      </c>
    </row>
    <row r="15">
      <c r="A15" s="6" t="inlineStr">
        <is>
          <t>予算 − 単純計算額</t>
        </is>
      </c>
      <c r="B15" s="19">
        <f>$B$5-$D$14</f>
        <v/>
      </c>
    </row>
    <row r="16">
      <c r="A16" s="6" t="inlineStr">
        <is>
          <t>1週あたりの調整額</t>
        </is>
      </c>
      <c r="B16" s="19">
        <f>IF(設定!$B$17=0,0,$B$15/設定!$B$17)</f>
        <v/>
      </c>
      <c r="C16" s="2" t="inlineStr">
        <is>
          <t>← 各週へ均等に振り分け、補正後の合計が予算と一致します</t>
        </is>
      </c>
    </row>
    <row r="20">
      <c r="A20" s="3" t="inlineStr">
        <is>
          <t>■ 更衣時間</t>
        </is>
      </c>
    </row>
    <row r="22">
      <c r="A22" s="4" t="inlineStr">
        <is>
          <t>単価</t>
        </is>
      </c>
      <c r="B22" s="17" t="n">
        <v>1132</v>
      </c>
    </row>
    <row r="23">
      <c r="A23" s="4" t="inlineStr">
        <is>
          <t>時間（分）</t>
        </is>
      </c>
      <c r="B23" s="27" t="n">
        <v>9</v>
      </c>
    </row>
    <row r="24">
      <c r="A24" s="4" t="inlineStr">
        <is>
          <t>予算基準額</t>
        </is>
      </c>
      <c r="B24" s="17" t="n">
        <v>81178</v>
      </c>
      <c r="C24" s="2" t="inlineStr">
        <is>
          <t>← 予算 ＝ 予算基準額 × 接客部門の予算比</t>
        </is>
      </c>
    </row>
    <row r="26">
      <c r="A26" s="9" t="inlineStr">
        <is>
          <t>週</t>
        </is>
      </c>
      <c r="B26" s="9" t="inlineStr">
        <is>
          <t>WEEK</t>
        </is>
      </c>
      <c r="C26" s="9" t="inlineStr">
        <is>
          <t>人数</t>
        </is>
      </c>
      <c r="D26" s="9" t="inlineStr">
        <is>
          <t>金額</t>
        </is>
      </c>
    </row>
    <row r="27">
      <c r="A27" s="10" t="n">
        <v>1</v>
      </c>
      <c r="B27" s="10">
        <f>設定!$B$21</f>
        <v/>
      </c>
      <c r="C27" s="27" t="n"/>
      <c r="D27" s="19">
        <f>IF($B27="","",$B$22*($B$23/60)*$C27)</f>
        <v/>
      </c>
    </row>
    <row r="28">
      <c r="A28" s="10" t="n">
        <v>2</v>
      </c>
      <c r="B28" s="10">
        <f>設定!$B$22</f>
        <v/>
      </c>
      <c r="C28" s="27" t="n"/>
      <c r="D28" s="19">
        <f>IF($B28="","",$B$22*($B$23/60)*$C28)</f>
        <v/>
      </c>
    </row>
    <row r="29">
      <c r="A29" s="10" t="n">
        <v>3</v>
      </c>
      <c r="B29" s="10">
        <f>設定!$B$23</f>
        <v/>
      </c>
      <c r="C29" s="27" t="n"/>
      <c r="D29" s="19">
        <f>IF($B29="","",$B$22*($B$23/60)*$C29)</f>
        <v/>
      </c>
    </row>
    <row r="30">
      <c r="A30" s="10" t="n">
        <v>4</v>
      </c>
      <c r="B30" s="10">
        <f>設定!$B$24</f>
        <v/>
      </c>
      <c r="C30" s="27" t="n"/>
      <c r="D30" s="19">
        <f>IF($B30="","",$B$22*($B$23/60)*$C30)</f>
        <v/>
      </c>
    </row>
    <row r="31">
      <c r="A31" s="10" t="n">
        <v>5</v>
      </c>
      <c r="B31" s="10">
        <f>設定!$B$25</f>
        <v/>
      </c>
      <c r="C31" s="27" t="n"/>
      <c r="D31" s="19">
        <f>IF($B31="","",$B$22*($B$23/60)*$C31)</f>
        <v/>
      </c>
    </row>
    <row r="32">
      <c r="A32" s="10" t="n">
        <v>6</v>
      </c>
      <c r="B32" s="10">
        <f>設定!$B$26</f>
        <v/>
      </c>
      <c r="C32" s="27" t="n"/>
      <c r="D32" s="19">
        <f>IF($B32="","",$B$22*($B$23/60)*$C32)</f>
        <v/>
      </c>
    </row>
    <row r="33">
      <c r="A33" s="23" t="inlineStr">
        <is>
          <t>合計</t>
        </is>
      </c>
      <c r="C33" s="33">
        <f>SUM(C27:C32)</f>
        <v/>
      </c>
      <c r="D33" s="21">
        <f>SUM(D27:D32)</f>
        <v/>
      </c>
    </row>
    <row r="34">
      <c r="A34" s="6" t="inlineStr">
        <is>
          <t>予算</t>
        </is>
      </c>
      <c r="B34" s="19">
        <f>$B$24*IF(接客部門!$B$3=0,0,接客部門!$H$25/接客部門!$B$3)</f>
        <v/>
      </c>
    </row>
    <row r="35">
      <c r="A35" s="6" t="inlineStr">
        <is>
          <t>差（合計 − 予算）</t>
        </is>
      </c>
      <c r="B35" s="19">
        <f>$D$33-$B$34</f>
        <v/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2026-08-15T20:27:30Z</dcterms:created>
  <dcterms:modified xsi:type="dcterms:W3CDTF">2026-08-15T20:27:30Z</dcterms:modified>
</cp:coreProperties>
</file>